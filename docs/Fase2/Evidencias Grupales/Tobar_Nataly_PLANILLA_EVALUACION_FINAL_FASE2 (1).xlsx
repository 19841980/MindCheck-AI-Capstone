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RUBRICA" sheetId="1" state="visible" r:id="rId1"/>
    <sheet xmlns:r="http://schemas.openxmlformats.org/officeDocument/2006/relationships" name="EVALUACION1" sheetId="2" state="visible" r:id="rId2"/>
    <sheet xmlns:r="http://schemas.openxmlformats.org/officeDocument/2006/relationships" name="ESCALA_IEP" sheetId="3" state="hidden" r:id="rId3"/>
    <sheet xmlns:r="http://schemas.openxmlformats.org/officeDocument/2006/relationships" name="ESCALA_PRESENTACION" sheetId="4" state="hidden" r:id="rId4"/>
    <sheet xmlns:r="http://schemas.openxmlformats.org/officeDocument/2006/relationships" name="ESCALA_TRAB_EQUIP" sheetId="5" state="hidden" r:id="rId5"/>
    <sheet xmlns:r="http://schemas.openxmlformats.org/officeDocument/2006/relationships"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fullCalcOnLoad="1"/>
</workbook>
</file>

<file path=xl/styles.xml><?xml version="1.0" encoding="utf-8"?>
<styleSheet xmlns="http://schemas.openxmlformats.org/spreadsheetml/2006/main">
  <numFmts count="1">
    <numFmt numFmtId="164" formatCode="0.0"/>
  </numFmts>
  <fonts count="17">
    <font>
      <name val="Calibri"/>
      <color rgb="FF000000"/>
      <sz val="11"/>
    </font>
    <font>
      <name val="Calibri"/>
      <b val="1"/>
      <color rgb="FF000000"/>
      <sz val="11"/>
    </font>
    <font>
      <name val="Calibri"/>
      <sz val="11"/>
    </font>
    <font>
      <name val="Calibri"/>
      <color rgb="FF000000"/>
      <sz val="20"/>
    </font>
    <font>
      <name val="Calibri"/>
      <b val="1"/>
      <color rgb="FF000000"/>
      <sz val="14"/>
    </font>
    <font>
      <name val="Calibri"/>
      <b val="1"/>
      <color rgb="FF000000"/>
      <sz val="10"/>
    </font>
    <font>
      <name val="Calibri"/>
      <color rgb="FF000000"/>
      <sz val="9"/>
    </font>
    <font>
      <name val="Calibri"/>
      <color rgb="FF000000"/>
      <sz val="10"/>
    </font>
    <font>
      <name val="Calibri"/>
      <color rgb="FF000000"/>
      <sz val="14"/>
    </font>
    <font>
      <name val="Calibri"/>
      <color rgb="FF000000"/>
      <sz val="16"/>
    </font>
    <font>
      <name val="Calibri"/>
      <family val="2"/>
      <b val="1"/>
      <color rgb="FFFFFFFF"/>
      <sz val="10"/>
    </font>
    <font>
      <name val="Calibri"/>
      <family val="2"/>
      <b val="1"/>
      <color rgb="FF000000"/>
      <sz val="10"/>
    </font>
    <font>
      <name val="Calibri"/>
      <family val="2"/>
      <b val="1"/>
      <color rgb="FFFFFFFF"/>
      <sz val="11"/>
    </font>
    <font>
      <name val="Calibri"/>
      <family val="2"/>
      <color rgb="FF000000"/>
      <sz val="10"/>
    </font>
    <font>
      <name val="Calibri"/>
      <family val="2"/>
      <color rgb="FF000000"/>
      <sz val="11"/>
    </font>
    <font>
      <name val="Calibri"/>
      <family val="2"/>
      <b val="1"/>
      <color rgb="FF000000"/>
      <sz val="11"/>
    </font>
    <font>
      <name val="Calibri"/>
      <family val="2"/>
      <color theme="1"/>
      <sz val="10"/>
    </font>
  </fonts>
  <fills count="10">
    <fill>
      <patternFill/>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1">
    <xf numFmtId="0" fontId="0" fillId="0" borderId="0"/>
  </cellStyleXfs>
  <cellXfs count="94">
    <xf numFmtId="0" fontId="0" fillId="0" borderId="0" pivotButton="0" quotePrefix="0" xfId="0"/>
    <xf numFmtId="164" fontId="0" fillId="0" borderId="0" pivotButton="0" quotePrefix="0" xfId="0"/>
    <xf numFmtId="9" fontId="0" fillId="2" borderId="1"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right" vertical="center"/>
    </xf>
    <xf numFmtId="164" fontId="0" fillId="2" borderId="1" applyAlignment="1" pivotButton="0" quotePrefix="0" xfId="0">
      <alignment horizontal="center"/>
    </xf>
    <xf numFmtId="164" fontId="0" fillId="3" borderId="1" applyAlignment="1" pivotButton="0" quotePrefix="0" xfId="0">
      <alignment horizontal="center"/>
    </xf>
    <xf numFmtId="0" fontId="1" fillId="4" borderId="6" applyAlignment="1" pivotButton="0" quotePrefix="0" xfId="0">
      <alignment vertical="center" wrapText="1"/>
    </xf>
    <xf numFmtId="0" fontId="1" fillId="4" borderId="7" applyAlignment="1" pivotButton="0" quotePrefix="0" xfId="0">
      <alignment vertical="center" wrapText="1"/>
    </xf>
    <xf numFmtId="0" fontId="1" fillId="4" borderId="8" applyAlignment="1" pivotButton="0" quotePrefix="0" xfId="0">
      <alignment vertical="center" wrapText="1"/>
    </xf>
    <xf numFmtId="0" fontId="1" fillId="4" borderId="10" applyAlignment="1" pivotButton="0" quotePrefix="0" xfId="0">
      <alignment vertical="center" wrapText="1"/>
    </xf>
    <xf numFmtId="0" fontId="1" fillId="4" borderId="11" applyAlignment="1" pivotButton="0" quotePrefix="0" xfId="0">
      <alignment vertical="center" wrapText="1"/>
    </xf>
    <xf numFmtId="0" fontId="1" fillId="0" borderId="9" applyAlignment="1" pivotButton="0" quotePrefix="0" xfId="0">
      <alignment horizontal="left" vertical="center" wrapText="1"/>
    </xf>
    <xf numFmtId="0" fontId="1" fillId="0" borderId="12"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7" fillId="0" borderId="1" applyAlignment="1" pivotButton="0" quotePrefix="0" xfId="0">
      <alignment horizontal="center" vertical="center"/>
    </xf>
    <xf numFmtId="0" fontId="6" fillId="0" borderId="1" applyAlignment="1" pivotButton="0" quotePrefix="0" xfId="0">
      <alignment horizontal="right" vertical="center" wrapText="1"/>
    </xf>
    <xf numFmtId="0" fontId="8" fillId="0" borderId="1" pivotButton="0" quotePrefix="0" xfId="0"/>
    <xf numFmtId="0" fontId="0" fillId="6" borderId="1" pivotButton="0" quotePrefix="0" xfId="0"/>
    <xf numFmtId="164" fontId="8" fillId="0" borderId="1" pivotButton="0" quotePrefix="0" xfId="0"/>
    <xf numFmtId="0" fontId="1" fillId="0" borderId="1" applyAlignment="1" pivotButton="0" quotePrefix="0" xfId="0">
      <alignment horizontal="right" vertical="center" wrapText="1"/>
    </xf>
    <xf numFmtId="0" fontId="6" fillId="0" borderId="0" applyAlignment="1" pivotButton="0" quotePrefix="0" xfId="0">
      <alignment horizontal="right" vertical="center" wrapText="1"/>
    </xf>
    <xf numFmtId="164" fontId="8" fillId="0" borderId="0" pivotButton="0" quotePrefix="0" xfId="0"/>
    <xf numFmtId="0" fontId="5" fillId="4" borderId="2" applyAlignment="1" pivotButton="0" quotePrefix="0" xfId="0">
      <alignment horizontal="center" vertical="center"/>
    </xf>
    <xf numFmtId="0" fontId="13" fillId="0" borderId="22" applyAlignment="1" pivotButton="0" quotePrefix="0" xfId="0">
      <alignment horizontal="justify" vertical="center" wrapText="1"/>
    </xf>
    <xf numFmtId="0" fontId="13" fillId="0" borderId="23" applyAlignment="1" pivotButton="0" quotePrefix="0" xfId="0">
      <alignment horizontal="justify" vertical="center" wrapText="1"/>
    </xf>
    <xf numFmtId="0" fontId="14" fillId="0" borderId="4" applyAlignment="1" pivotButton="0" quotePrefix="0" xfId="0">
      <alignment horizontal="left"/>
    </xf>
    <xf numFmtId="0" fontId="7" fillId="0" borderId="14" applyAlignment="1" pivotButton="0" quotePrefix="0" xfId="0">
      <alignment horizontal="left" vertical="center"/>
    </xf>
    <xf numFmtId="0" fontId="6" fillId="0" borderId="3" applyAlignment="1" pivotButton="0" quotePrefix="0" xfId="0">
      <alignment horizontal="right" vertical="center" wrapText="1"/>
    </xf>
    <xf numFmtId="0" fontId="6" fillId="0" borderId="24" applyAlignment="1" pivotButton="0" quotePrefix="0" xfId="0">
      <alignment horizontal="left" vertical="center" wrapText="1"/>
    </xf>
    <xf numFmtId="0" fontId="15" fillId="4" borderId="11" applyAlignment="1" pivotButton="0" quotePrefix="0" xfId="0">
      <alignment vertical="center" wrapText="1"/>
    </xf>
    <xf numFmtId="0" fontId="6" fillId="0" borderId="4" applyAlignment="1" pivotButton="0" quotePrefix="0" xfId="0">
      <alignment horizontal="right" vertical="center" wrapText="1"/>
    </xf>
    <xf numFmtId="0" fontId="8" fillId="0" borderId="2" pivotButton="0" quotePrefix="0" xfId="0"/>
    <xf numFmtId="0" fontId="10" fillId="8" borderId="24" applyAlignment="1" pivotButton="0" quotePrefix="0" xfId="0">
      <alignment horizontal="center" vertical="center" wrapText="1"/>
    </xf>
    <xf numFmtId="0" fontId="12" fillId="8" borderId="24" applyAlignment="1" pivotButton="0" quotePrefix="0" xfId="0">
      <alignment horizontal="center" vertical="center" wrapText="1"/>
    </xf>
    <xf numFmtId="9" fontId="10" fillId="8" borderId="24" applyAlignment="1" pivotButton="0" quotePrefix="0" xfId="0">
      <alignment horizontal="center" vertical="center" wrapText="1"/>
    </xf>
    <xf numFmtId="0" fontId="13" fillId="0" borderId="24" applyAlignment="1" pivotButton="0" quotePrefix="0" xfId="0">
      <alignment horizontal="justify" vertical="center" wrapText="1"/>
    </xf>
    <xf numFmtId="0" fontId="11" fillId="0" borderId="24" applyAlignment="1" pivotButton="0" quotePrefix="0" xfId="0">
      <alignment horizontal="center" vertical="center" wrapText="1"/>
    </xf>
    <xf numFmtId="0" fontId="14" fillId="2" borderId="1" applyAlignment="1" pivotButton="0" quotePrefix="0" xfId="0">
      <alignment horizontal="center" vertical="center" wrapText="1"/>
    </xf>
    <xf numFmtId="9" fontId="14" fillId="2" borderId="1" applyAlignment="1" pivotButton="0" quotePrefix="0" xfId="0">
      <alignment horizontal="center" vertical="center" wrapText="1"/>
    </xf>
    <xf numFmtId="0" fontId="13" fillId="9" borderId="24" applyAlignment="1" pivotButton="0" quotePrefix="0" xfId="0">
      <alignment horizontal="justify" vertical="center" wrapText="1"/>
    </xf>
    <xf numFmtId="0" fontId="13" fillId="9" borderId="26" applyAlignment="1" pivotButton="0" quotePrefix="0" xfId="0">
      <alignment horizontal="justify" vertical="center" wrapText="1"/>
    </xf>
    <xf numFmtId="0" fontId="13" fillId="0" borderId="26" applyAlignment="1" pivotButton="0" quotePrefix="0" xfId="0">
      <alignment horizontal="justify" vertical="center" wrapText="1"/>
    </xf>
    <xf numFmtId="0" fontId="13" fillId="0" borderId="27" applyAlignment="1" pivotButton="0" quotePrefix="0" xfId="0">
      <alignment horizontal="justify" vertical="center" wrapText="1"/>
    </xf>
    <xf numFmtId="0" fontId="13" fillId="9" borderId="22" applyAlignment="1" pivotButton="0" quotePrefix="0" xfId="0">
      <alignment horizontal="justify" vertical="center" wrapText="1"/>
    </xf>
    <xf numFmtId="0" fontId="13" fillId="0" borderId="28" applyAlignment="1" pivotButton="0" quotePrefix="0" xfId="0">
      <alignment horizontal="justify" vertical="center" wrapText="1"/>
    </xf>
    <xf numFmtId="0" fontId="16" fillId="9" borderId="24" applyAlignment="1" pivotButton="0" quotePrefix="0" xfId="0">
      <alignment horizontal="justify" vertical="center" wrapText="1"/>
    </xf>
    <xf numFmtId="0" fontId="16" fillId="0" borderId="24" applyAlignment="1" pivotButton="0" quotePrefix="0" xfId="0">
      <alignment horizontal="justify" vertical="center" wrapText="1"/>
    </xf>
    <xf numFmtId="0" fontId="11" fillId="0" borderId="23" applyAlignment="1" pivotButton="0" quotePrefix="0" xfId="0">
      <alignment horizontal="center" vertical="center" wrapText="1"/>
    </xf>
    <xf numFmtId="0" fontId="10" fillId="8" borderId="24" applyAlignment="1" pivotButton="0" quotePrefix="0" xfId="0">
      <alignment horizontal="center" vertical="center" wrapText="1"/>
    </xf>
    <xf numFmtId="0" fontId="12" fillId="8" borderId="24" applyAlignment="1" pivotButton="0" quotePrefix="0" xfId="0">
      <alignment horizontal="center" vertical="center" wrapText="1"/>
    </xf>
    <xf numFmtId="0" fontId="0" fillId="3" borderId="2" applyAlignment="1" pivotButton="0" quotePrefix="0" xfId="0">
      <alignment horizontal="right" vertical="center"/>
    </xf>
    <xf numFmtId="0" fontId="9" fillId="0" borderId="16" applyAlignment="1" pivotButton="0" quotePrefix="0" xfId="0">
      <alignment horizontal="left" vertical="center"/>
    </xf>
    <xf numFmtId="0" fontId="5" fillId="4" borderId="2" applyAlignment="1" pivotButton="0" quotePrefix="0" xfId="0">
      <alignment horizontal="center" vertical="center"/>
    </xf>
    <xf numFmtId="0" fontId="5" fillId="4" borderId="4" applyAlignment="1" pivotButton="0" quotePrefix="0" xfId="0">
      <alignment horizontal="center" vertical="center"/>
    </xf>
    <xf numFmtId="0" fontId="11" fillId="4" borderId="4" applyAlignment="1" pivotButton="0" quotePrefix="0" xfId="0">
      <alignment horizontal="center" vertical="center"/>
    </xf>
    <xf numFmtId="0" fontId="0" fillId="7" borderId="2" applyAlignment="1" pivotButton="0" quotePrefix="0" xfId="0">
      <alignment horizontal="center" vertical="center" textRotation="255"/>
    </xf>
    <xf numFmtId="9" fontId="0" fillId="3" borderId="2" applyAlignment="1" pivotButton="0" quotePrefix="0" xfId="0">
      <alignment horizontal="center" vertical="center"/>
    </xf>
    <xf numFmtId="0" fontId="3" fillId="5" borderId="2" applyAlignment="1" pivotButton="0" quotePrefix="0" xfId="0">
      <alignment horizontal="center" vertical="center" textRotation="255"/>
    </xf>
    <xf numFmtId="0" fontId="1" fillId="4" borderId="5" applyAlignment="1" pivotButton="0" quotePrefix="0" xfId="0">
      <alignment horizontal="left" vertical="center" wrapText="1"/>
    </xf>
    <xf numFmtId="0" fontId="2" fillId="0" borderId="3" pivotButton="0" quotePrefix="0" xfId="0"/>
    <xf numFmtId="0" fontId="2" fillId="0" borderId="13" pivotButton="0" quotePrefix="0" xfId="0"/>
    <xf numFmtId="0" fontId="2" fillId="0" borderId="14" pivotButton="0" quotePrefix="0" xfId="0"/>
    <xf numFmtId="0" fontId="2" fillId="0" borderId="15" pivotButton="0" quotePrefix="0" xfId="0"/>
    <xf numFmtId="0" fontId="2" fillId="0" borderId="25" pivotButton="0" quotePrefix="0" xfId="0"/>
    <xf numFmtId="0" fontId="2" fillId="0" borderId="17" pivotButton="0" quotePrefix="0" xfId="0"/>
    <xf numFmtId="0" fontId="2" fillId="0" borderId="18" pivotButton="0" quotePrefix="0" xfId="0"/>
    <xf numFmtId="0" fontId="2" fillId="0" borderId="19" pivotButton="0" quotePrefix="0" xfId="0"/>
    <xf numFmtId="0" fontId="2" fillId="0" borderId="20" pivotButton="0" quotePrefix="0" xfId="0"/>
    <xf numFmtId="0" fontId="2" fillId="0" borderId="21" pivotButton="0" quotePrefix="0" xfId="0"/>
    <xf numFmtId="0" fontId="2" fillId="0" borderId="9" pivotButton="0" quotePrefix="0" xfId="0"/>
    <xf numFmtId="0" fontId="1" fillId="4" borderId="12" applyAlignment="1" pivotButton="0" quotePrefix="0" xfId="0">
      <alignment vertical="center" wrapText="1"/>
    </xf>
    <xf numFmtId="0" fontId="0" fillId="0" borderId="34" pivotButton="0" quotePrefix="0" xfId="0"/>
    <xf numFmtId="0" fontId="0" fillId="0" borderId="35" pivotButton="0" quotePrefix="0" xfId="0"/>
    <xf numFmtId="0" fontId="0" fillId="0" borderId="30" pivotButton="0" quotePrefix="0" xfId="0"/>
    <xf numFmtId="0" fontId="0" fillId="0" borderId="31" pivotButton="0" quotePrefix="0" xfId="0"/>
    <xf numFmtId="9" fontId="0" fillId="3" borderId="1" applyAlignment="1" pivotButton="0" quotePrefix="0" xfId="0">
      <alignment horizontal="center" vertical="center"/>
    </xf>
    <xf numFmtId="0" fontId="0" fillId="0" borderId="3" pivotButton="0" quotePrefix="0" xfId="0"/>
    <xf numFmtId="0" fontId="3" fillId="5" borderId="1" applyAlignment="1" pivotButton="0" quotePrefix="0" xfId="0">
      <alignment horizontal="center" vertical="center" textRotation="255"/>
    </xf>
    <xf numFmtId="0" fontId="0" fillId="0" borderId="13" pivotButton="0" quotePrefix="0" xfId="0"/>
    <xf numFmtId="0" fontId="0" fillId="0" borderId="14" pivotButton="0" quotePrefix="0" xfId="0"/>
    <xf numFmtId="0" fontId="0" fillId="0" borderId="15" pivotButton="0" quotePrefix="0" xfId="0"/>
    <xf numFmtId="0" fontId="11" fillId="4" borderId="1" applyAlignment="1" pivotButton="0" quotePrefix="0" xfId="0">
      <alignment horizontal="center" vertical="center"/>
    </xf>
    <xf numFmtId="0" fontId="0" fillId="7" borderId="1" applyAlignment="1" pivotButton="0" quotePrefix="0" xfId="0">
      <alignment horizontal="center" vertical="center" textRotation="255"/>
    </xf>
    <xf numFmtId="0" fontId="0" fillId="3" borderId="1" applyAlignment="1" pivotButton="0" quotePrefix="0" xfId="0">
      <alignment horizontal="right" vertical="center"/>
    </xf>
    <xf numFmtId="0" fontId="9" fillId="0" borderId="1" applyAlignment="1" pivotButton="0" quotePrefix="0" xfId="0">
      <alignment horizontal="left" vertical="center"/>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1" fillId="4" borderId="37" applyAlignment="1" pivotButton="0" quotePrefix="0" xfId="0">
      <alignment horizontal="left" vertical="center" wrapText="1"/>
    </xf>
    <xf numFmtId="0" fontId="0" fillId="0" borderId="9" pivotButton="0" quotePrefix="0" xfId="0"/>
  </cellXfs>
  <cellStyles count="1">
    <cellStyle name="Normal" xfId="0" builtinId="0"/>
  </cellStyles>
  <dxfs count="2">
    <dxf>
      <font>
        <color rgb="FF9C0006"/>
      </font>
      <fill>
        <patternFill/>
      </fill>
    </dxf>
    <dxf>
      <font>
        <color rgb="FF9C0006"/>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13"/>
  <sheetViews>
    <sheetView topLeftCell="A5" zoomScale="80" zoomScaleNormal="80" workbookViewId="0">
      <selection activeCell="F11" sqref="F11"/>
    </sheetView>
  </sheetViews>
  <sheetFormatPr baseColWidth="8" defaultColWidth="11.42578125" defaultRowHeight="14.45"/>
  <cols>
    <col width="38.7109375" customWidth="1" min="1" max="6"/>
  </cols>
  <sheetData>
    <row r="1">
      <c r="A1" s="50" t="inlineStr">
        <is>
          <t>Indicador de Evaluación</t>
        </is>
      </c>
      <c r="B1" s="50" t="inlineStr">
        <is>
          <t>Categorías de Respuesta</t>
        </is>
      </c>
      <c r="C1" s="73" t="n"/>
      <c r="D1" s="73" t="n"/>
      <c r="E1" s="74" t="n"/>
      <c r="F1" s="50" t="inlineStr">
        <is>
          <t>Ponderación del Indicador de Evaluación</t>
        </is>
      </c>
    </row>
    <row r="2">
      <c r="A2" s="75" t="n"/>
      <c r="B2" s="51" t="inlineStr">
        <is>
          <t>Completamente Logrado  (100%)</t>
        </is>
      </c>
      <c r="C2" s="51" t="inlineStr">
        <is>
          <t>Logrado  (60%)</t>
        </is>
      </c>
      <c r="D2" s="51" t="inlineStr">
        <is>
          <t xml:space="preserve">Logro incipiente </t>
        </is>
      </c>
      <c r="E2" s="50" t="inlineStr">
        <is>
          <t>No logrado</t>
        </is>
      </c>
      <c r="F2" s="75" t="n"/>
    </row>
    <row r="3">
      <c r="A3" s="76" t="n"/>
      <c r="B3" s="76" t="n"/>
      <c r="C3" s="76" t="n"/>
      <c r="D3" s="36" t="n">
        <v>-0.3</v>
      </c>
      <c r="E3" s="36" t="n">
        <v>0</v>
      </c>
      <c r="F3" s="76" t="n"/>
    </row>
    <row r="4" ht="55.15" customHeight="1">
      <c r="A4" s="37" t="inlineStr">
        <is>
          <t>1. Implementa una metodología que permite el logro de los objetivos propuestos, de acuerdo a los estándares de la disciplina.</t>
        </is>
      </c>
      <c r="B4" s="37" t="inlineStr">
        <is>
          <t xml:space="preserve">Describe la metodología utilizada de acuerdo a los estándares de la disciplina, alcanzando todos los objetivos propuestos para el proyecto. </t>
        </is>
      </c>
      <c r="C4" s="37" t="inlineStr">
        <is>
          <t xml:space="preserve">Describe la metodología utilizada de acuerdo a los estándares de la disciplina, pero cumple parcialmente los objetivos propuestos para el proyecto. </t>
        </is>
      </c>
      <c r="D4" s="37" t="inlineStr">
        <is>
          <t xml:space="preserve">Describe la metodología utilizada cumpliendo parcialmente con los estándares de la disciplina y con los objetivos propuestos para el proyecto. </t>
        </is>
      </c>
      <c r="E4" s="37" t="inlineStr">
        <is>
          <t xml:space="preserve">Describe la metodología utilizada sin cumplir los estándares de la disciplina ni los objetivos propuestos para el proyecto. </t>
        </is>
      </c>
      <c r="F4" s="38" t="n">
        <v>10</v>
      </c>
    </row>
    <row r="5" ht="82.90000000000001" customHeight="1">
      <c r="A5" s="41" t="inlineStr">
        <is>
          <t>2. Genera evidencias que dan cuenta del cumplimiento del Proyecto CAPSTONE, en relación a documentación, programación y almacenamiento de datos, de acuerdo a lo planificado por el equipo y que cumpla con estándares de desarrollo de la industria</t>
        </is>
      </c>
      <c r="B5" s="37" t="inlineStr">
        <is>
          <t>Genera evidencias que dan cuenta del cumplimiento del Proyecto CAPSTONE, en relación a documentación, programación y almacenamiento de datos, de acuerdo a lo planificado por el equipo y que cumpla con estándares de desarrollo de la industria</t>
        </is>
      </c>
      <c r="C5" s="37" t="inlineStr">
        <is>
          <t>Genera evidencias que dan cuenta del cumplimiento del Proyecto CAPSTONE, en relación a documentación, programación y almacenamiento de datos, de acuerdo a lo planificado por el equipo y no cumplen con estándares de desarrollo de la industria</t>
        </is>
      </c>
      <c r="D5" s="37" t="inlineStr">
        <is>
          <t>Genera evidencias pero ellas no dan cuenta del cumplimiento del Proyecto CAPSTONE, en relación a documentación, programación y almacenamiento de datos, de acuerdo a lo planificado por el equipo, pero si cumple con estándares de desarrollo de la industria</t>
        </is>
      </c>
      <c r="E5" s="37" t="inlineStr">
        <is>
          <t>Genera evidencias pero ellas no dan cuenta del cumplimiento del Proyecto CAPSTONE, en relación a documentación, programación y almacenamiento de datos, de acuerdo a lo planificado por el equipo, y no cumplen con estándares de desarrollo de la industria</t>
        </is>
      </c>
      <c r="F5" s="38" t="n">
        <v>20</v>
      </c>
    </row>
    <row r="6" ht="42" customHeight="1" thickBot="1">
      <c r="A6" s="41" t="inlineStr">
        <is>
          <t>3. Relaciona el Proyecto APT con sus intereses profesionales. *</t>
        </is>
      </c>
      <c r="B6" s="37" t="inlineStr">
        <is>
          <t xml:space="preserve">Menciona los intereses profesionales y explica con claridad cómo estos se ven reflejados en el proyecto. </t>
        </is>
      </c>
      <c r="C6" s="37" t="inlineStr">
        <is>
          <t>Menciona los intereses profesionales, pero no queda completamente clara su conexión con el proyecto.</t>
        </is>
      </c>
      <c r="D6" s="37" t="inlineStr">
        <is>
          <t xml:space="preserve">Menciona los intereses profesionales sin conectarlos con el proyecto. </t>
        </is>
      </c>
      <c r="E6" s="37" t="inlineStr">
        <is>
          <t>No menciona los intereses profesionales.</t>
        </is>
      </c>
      <c r="F6" s="38" t="n">
        <v>5</v>
      </c>
    </row>
    <row r="7" ht="69" customHeight="1">
      <c r="A7" s="42" t="inlineStr">
        <is>
          <t>4. Relaciona el Proyecto APT con las competencias del perfil de egreso de su Plan de Estudio.</t>
        </is>
      </c>
      <c r="B7" s="43" t="inlineStr">
        <is>
          <t xml:space="preserve">Describe una relación coherente entre el proyecto y el perfil de egreso del plan de estudio, especificando cómo debe utilizar distintas competencias para desarrollar su Proyecto APT. </t>
        </is>
      </c>
      <c r="C7" s="43" t="inlineStr">
        <is>
          <t>Describe una relación coherente entre el proyecto y el perfil de egreso del plan de estudio, pero no especifica cómo debe utilizar distintas competencias para desarrollar su Proyecto APT.</t>
        </is>
      </c>
      <c r="D7" s="43" t="inlineStr">
        <is>
          <t>Describe una relación que tiene elementos pero que no son coherentes entre el proyecto y el perfil de egreso del plan de estudio.</t>
        </is>
      </c>
      <c r="E7" s="44" t="inlineStr">
        <is>
          <t xml:space="preserve">Describe una relación sin coherencia entre el proyecto y el perfil de egreso del plan de estudio o no relaciona el proyecto con el perfil de egreso. </t>
        </is>
      </c>
      <c r="F7" s="38" t="n">
        <v>5</v>
      </c>
    </row>
    <row r="8" ht="41.45" customHeight="1">
      <c r="A8" s="41" t="inlineStr">
        <is>
          <t>5. Utiliza de manera precisa el lenguaje técnico en los entregables de acuerdo con lo requerido por la disciplina.</t>
        </is>
      </c>
      <c r="B8" s="37" t="inlineStr">
        <is>
          <t xml:space="preserve">Utiliza lenguaje técnico de su disciplina en todos los entregables de avance del proyecto. </t>
        </is>
      </c>
      <c r="C8" s="37" t="inlineStr">
        <is>
          <t>Utiliza lenguaje técnico de su disciplina en la mayoría de los entregables de avance del proyecto</t>
        </is>
      </c>
      <c r="D8" s="37" t="inlineStr">
        <is>
          <t>Utiliza lenguaje técnico de su disciplina en la menos de la mitad de los entregables de avance del proyecto</t>
        </is>
      </c>
      <c r="E8" s="37" t="inlineStr">
        <is>
          <t xml:space="preserve">No utiliza lenguaje técnico de su disciplina en los entregables de avance del proyecto. </t>
        </is>
      </c>
      <c r="F8" s="38" t="n">
        <v>5</v>
      </c>
    </row>
    <row r="9" ht="55.15" customHeight="1">
      <c r="A9" s="41" t="inlineStr">
        <is>
          <t xml:space="preserve">6. Utiliza correctamente las reglas de redacción, ortografía (literal, puntual, acentual) y las normas para citas y referencias. </t>
        </is>
      </c>
      <c r="B9" s="37" t="inlineStr">
        <is>
          <t>El texto cumple con las reglas ortografía y de redacción en todos sus apartados y utiliza correctamente todas las normas de citación y referencias.</t>
        </is>
      </c>
      <c r="C9" s="37" t="inlineStr">
        <is>
          <t>El texto presenta de 1 a 5 errores de ortografía, redacción o en las citas y referencias del informe.</t>
        </is>
      </c>
      <c r="D9" s="37" t="inlineStr">
        <is>
          <t>El texto presenta de 6 a 10 errores de ortografía, redacción o en las citas y referencias del informe.</t>
        </is>
      </c>
      <c r="E9" s="37" t="inlineStr">
        <is>
          <t>El texto presenta más de 10 errores de ortografía, redacción o en las citas y referencias del informe.</t>
        </is>
      </c>
      <c r="F9" s="38" t="n">
        <v>5</v>
      </c>
    </row>
    <row r="10" ht="55.15" customHeight="1">
      <c r="A10" s="41" t="inlineStr">
        <is>
          <t>7. Entrega la documentación y evidencias requerida por la asignatura de acuerdo a la estrucutra y nombres solicitados, guardando todas las evidencias de avances en Git</t>
        </is>
      </c>
      <c r="B10" s="37" t="inlineStr">
        <is>
          <t>Entrega la documentación y evidencias requeridas por la asignatura de acuerdo a la estrucutra y nombres solicitados, guardando todas las evidencias de avances en Git</t>
        </is>
      </c>
      <c r="C10" s="37" t="inlineStr">
        <is>
          <t>Entrega la documentación y evidencias requeridas por la asignatura de acuerdo a la estrucutra y nombres solicitados, guardando algunas de las evidencias de avances en Git</t>
        </is>
      </c>
      <c r="D10" s="37" t="inlineStr">
        <is>
          <t>Entrega la documentación y evidencias requeridas por la asignatura sin una la estrucutra y nombres solicitados, guardando algunas de las evidencias de avances en Git</t>
        </is>
      </c>
      <c r="E10" s="37" t="inlineStr">
        <is>
          <t>No entrega a través de Git la documentación y evidencias de avance requeridas por la asignatura</t>
        </is>
      </c>
      <c r="F10" s="38" t="n">
        <v>15</v>
      </c>
    </row>
    <row r="11" ht="55.9" customHeight="1" thickBot="1">
      <c r="A11" s="45" t="inlineStr">
        <is>
          <t>8. Expone el tema utilizando un lenguaje técnico disciplinar al presentar la propuesta y responde evidenciando un manejo de la información. *</t>
        </is>
      </c>
      <c r="B11" s="26" t="inlineStr">
        <is>
          <t>Expone el tema utilizando un lenguaje técnico disciplinar al presentar la propuesta y responde evidenciando un manejo de la información en todo momento</t>
        </is>
      </c>
      <c r="C11" s="26" t="inlineStr">
        <is>
          <t>Expone el tema utilizando un lenguaje técnico disciplinar al presentar la propuesta y responde evidenciando un manejo de la información la mayoría del tiempo.</t>
        </is>
      </c>
      <c r="D11" s="26" t="inlineStr">
        <is>
          <t>Expone el tema utilizando un lenguaje técnico disciplinar al presentar la propuesta y responde evidenciando un manejo de la información la mitad del tiempo.</t>
        </is>
      </c>
      <c r="E11" s="46" t="inlineStr">
        <is>
          <t>Expone el tema utilizando un lenguaje técnico disciplinar al presentar la propuesta y responde evidenciando un manejo de la información en menos de la mitad del tiempo.</t>
        </is>
      </c>
      <c r="F11" s="38" t="n">
        <v>10</v>
      </c>
    </row>
    <row r="12" ht="69.59999999999999" customHeight="1" thickBot="1">
      <c r="A12" s="47" t="inlineStr">
        <is>
          <t>9.-Generan evidencias claras dentro del repositorio  del aporte de cada uno de los integrantes del equipo que permitan identificar la equidad en el trabajo y la participación de cada estudiante.</t>
        </is>
      </c>
      <c r="B12" s="48" t="inlineStr">
        <is>
          <t>Generan evidencias dentro del repositorio  del proyecto del aporte de cada uno de los integrantes del equipo que permitan identificar la equidad en el trabajo y la participación de cada estudiante</t>
        </is>
      </c>
      <c r="C12" s="48" t="inlineStr">
        <is>
          <t>Generan evidencias dentro del repositorio  del proyecto del aporte de cada uno de los integrantes del equipo pero la evidencia no demuestra una equidad en la participación de cada estudiante</t>
        </is>
      </c>
      <c r="D12" s="48" t="inlineStr">
        <is>
          <t>Generan evidencias dentro del repositorio  del proyecto del aporte de cada uno de los integrantes del equipo pero la evidencia no demuestra la participación de algunos(s) participante(s) del equipo</t>
        </is>
      </c>
      <c r="E12" s="48" t="inlineStr">
        <is>
          <t>No generan evidencias dentro del repositorio  del proyecto del aporte de cada uno de los integrantes del equipo por lo que no se permite identificar la equidad en el trabajo y la participación de cada estudiante</t>
        </is>
      </c>
      <c r="F12" s="49" t="n">
        <v>15</v>
      </c>
    </row>
    <row r="13" ht="97.15000000000001" customHeight="1" thickBot="1">
      <c r="A13" s="25" t="inlineStr">
        <is>
          <t>10. Colaboración y trabajo en equipo *</t>
        </is>
      </c>
      <c r="B13" s="26" t="inlineStr">
        <is>
          <t>El estudiante realiza un excelente trabajo en equipo, fomentando un ambiente positivo, siendo participativo con su equipo en las sesiones presenciales de la asignatura y participando de manera equitativa en la presentación del caso</t>
        </is>
      </c>
      <c r="C13" s="26" t="inlineStr">
        <is>
          <t xml:space="preserve">El estudiante realiza un buen trabajo en equipo, fomentando un ambiente positivo, siendo participativo con su equipo en las sesiones presenciales de la asignatura, pero no demuestra una participación de manera equitativa en la presentación del caso </t>
        </is>
      </c>
      <c r="D13" s="26" t="inlineStr">
        <is>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is>
      </c>
      <c r="E13" s="26" t="inlineStr">
        <is>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is>
      </c>
      <c r="F13" s="38" t="n">
        <v>10</v>
      </c>
    </row>
  </sheetData>
  <mergeCells count="5">
    <mergeCell ref="A1:A3"/>
    <mergeCell ref="B1:E1"/>
    <mergeCell ref="F1:F3"/>
    <mergeCell ref="B2:B3"/>
    <mergeCell ref="C2:C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2:K56"/>
  <sheetViews>
    <sheetView tabSelected="1" topLeftCell="A35" zoomScale="120" zoomScaleNormal="120" workbookViewId="0">
      <selection activeCell="B53" sqref="B53"/>
    </sheetView>
  </sheetViews>
  <sheetFormatPr baseColWidth="8" defaultColWidth="14.42578125" defaultRowHeight="15" customHeight="1" outlineLevelRow="1"/>
  <cols>
    <col width="10.7109375" customWidth="1" min="1" max="1"/>
    <col width="66.85546875" customWidth="1" min="2" max="2"/>
    <col width="22" bestFit="1" customWidth="1" min="3" max="3"/>
    <col width="11.28515625" customWidth="1" min="4" max="4"/>
    <col width="11.7109375" customWidth="1" min="5" max="7"/>
    <col width="7.7109375" customWidth="1" min="8" max="8"/>
    <col width="11.7109375" customWidth="1" min="9" max="9"/>
    <col width="7.7109375" customWidth="1" min="10" max="10"/>
    <col width="11.7109375" customWidth="1" min="11" max="11"/>
    <col width="10.7109375" customWidth="1" min="12" max="24"/>
  </cols>
  <sheetData>
    <row r="2" ht="14.45" customHeight="1">
      <c r="C2" s="2" t="n">
        <v>0.75</v>
      </c>
      <c r="D2" s="2" t="n">
        <v>0.25</v>
      </c>
      <c r="E2" s="77" t="n">
        <v>1</v>
      </c>
    </row>
    <row r="3" ht="14.45" customHeight="1">
      <c r="B3" s="3" t="inlineStr">
        <is>
          <t>INTEGRANTES</t>
        </is>
      </c>
      <c r="C3" s="39" t="inlineStr">
        <is>
          <t>GRUPAL</t>
        </is>
      </c>
      <c r="D3" s="40" t="inlineStr">
        <is>
          <t>INDIVIDUAL</t>
        </is>
      </c>
      <c r="E3" s="78" t="n"/>
    </row>
    <row r="4" ht="14.45" customHeight="1">
      <c r="A4" s="4" t="n">
        <v>1</v>
      </c>
      <c r="B4" s="27" t="inlineStr">
        <is>
          <t>Tobar Gallardo, Nataly Valesca</t>
        </is>
      </c>
      <c r="C4" s="5">
        <f>EVALUACION1!$C$21</f>
        <v/>
      </c>
      <c r="D4" s="5">
        <f>$C$32</f>
        <v/>
      </c>
      <c r="E4" s="6">
        <f>C4*C$2+D4*D$2</f>
        <v/>
      </c>
      <c r="G4" s="1" t="n"/>
    </row>
    <row r="5" ht="14.45" customHeight="1">
      <c r="A5" s="4" t="n">
        <v>2</v>
      </c>
      <c r="B5" s="27" t="n"/>
      <c r="C5" s="5">
        <f>EVALUACION1!$C$21</f>
        <v/>
      </c>
      <c r="D5" s="5">
        <f>C44</f>
        <v/>
      </c>
      <c r="E5" s="6">
        <f>C5*C$2+D5*D$2</f>
        <v/>
      </c>
      <c r="G5" s="1" t="n"/>
    </row>
    <row r="6" ht="14.45" customHeight="1">
      <c r="A6" s="4" t="n">
        <v>3</v>
      </c>
      <c r="B6" s="27" t="n"/>
      <c r="C6" s="5">
        <f>EVALUACION1!$C$21</f>
        <v/>
      </c>
      <c r="D6" s="5">
        <f>C55</f>
        <v/>
      </c>
      <c r="E6" s="6">
        <f>C6*C$2+D6*D$2</f>
        <v/>
      </c>
      <c r="G6" s="1" t="n"/>
    </row>
    <row r="11" outlineLevel="1" ht="18" customHeight="1">
      <c r="A11" s="79" t="inlineStr">
        <is>
          <t>GRUPAL</t>
        </is>
      </c>
      <c r="B11" s="14" t="n"/>
      <c r="C11" s="15" t="inlineStr">
        <is>
          <t>Nivel de Logro</t>
        </is>
      </c>
      <c r="D11" s="15" t="inlineStr">
        <is>
          <t>NIVELES DE LOGRO Y PUNTAJES</t>
        </is>
      </c>
      <c r="E11" s="80" t="n"/>
      <c r="F11" s="80" t="n"/>
      <c r="G11" s="80" t="n"/>
      <c r="H11" s="80" t="n"/>
      <c r="I11" s="80" t="n"/>
      <c r="J11" s="80" t="n"/>
      <c r="K11" s="81" t="n"/>
    </row>
    <row r="12" outlineLevel="1" ht="14.45" customHeight="1">
      <c r="A12" s="82" t="n"/>
      <c r="B12" s="54" t="inlineStr">
        <is>
          <t>Aspectos a Evaluar</t>
        </is>
      </c>
      <c r="C12" s="78" t="n"/>
      <c r="D12" s="15" t="inlineStr">
        <is>
          <t>Completamente logrado</t>
        </is>
      </c>
      <c r="E12" s="81" t="n"/>
      <c r="F12" s="15" t="inlineStr">
        <is>
          <t>Logrado</t>
        </is>
      </c>
      <c r="G12" s="81" t="n"/>
      <c r="H12" s="83" t="inlineStr">
        <is>
          <t>Logro Incipiente</t>
        </is>
      </c>
      <c r="I12" s="81" t="n"/>
      <c r="J12" s="15" t="inlineStr">
        <is>
          <t>No logrado</t>
        </is>
      </c>
      <c r="K12" s="81" t="n"/>
    </row>
    <row r="13" outlineLevel="1" ht="24" customHeight="1">
      <c r="A13" s="82" t="n"/>
      <c r="B13" s="30">
        <f>RUBRICA!A4</f>
        <v/>
      </c>
      <c r="C13" s="28" t="inlineStr">
        <is>
          <t>Completamente logrado</t>
        </is>
      </c>
      <c r="D13" s="16">
        <f>IF($C13=CL,"X","")</f>
        <v/>
      </c>
      <c r="E13" s="16">
        <f>IF(D13="X",100*0.1,"")</f>
        <v/>
      </c>
      <c r="F13" s="16">
        <f>IF($C13=L,"X","")</f>
        <v/>
      </c>
      <c r="G13" s="16">
        <f>IF(F13="X",60*0.1,"")</f>
        <v/>
      </c>
      <c r="H13" s="16">
        <f>IF($C13=ML,"X","")</f>
        <v/>
      </c>
      <c r="I13" s="16">
        <f>IF(H13="X",30*0.1,"")</f>
        <v/>
      </c>
      <c r="J13" s="16">
        <f>IF($C13=NL,"X","")</f>
        <v/>
      </c>
      <c r="K13" s="16">
        <f>IF($J13="X",0,"")</f>
        <v/>
      </c>
    </row>
    <row r="14" outlineLevel="1" ht="36" customHeight="1">
      <c r="A14" s="82" t="n"/>
      <c r="B14" s="30">
        <f>RUBRICA!A5</f>
        <v/>
      </c>
      <c r="C14" s="28" t="inlineStr">
        <is>
          <t>Completamente logrado</t>
        </is>
      </c>
      <c r="D14" s="16">
        <f>IF($C14=CL,"X","")</f>
        <v/>
      </c>
      <c r="E14" s="16">
        <f>IF(D14="X",100*0.2,"")</f>
        <v/>
      </c>
      <c r="F14" s="16">
        <f>IF($C14=L,"X","")</f>
        <v/>
      </c>
      <c r="G14" s="16">
        <f>IF(F14="X",60*0.2,"")</f>
        <v/>
      </c>
      <c r="H14" s="16">
        <f>IF($C14=ML,"X","")</f>
        <v/>
      </c>
      <c r="I14" s="16">
        <f>IF(H14="X",30*0.2,"")</f>
        <v/>
      </c>
      <c r="J14" s="16">
        <f>IF($C14=NL,"X","")</f>
        <v/>
      </c>
      <c r="K14" s="16">
        <f>IF($J14="X",0,"")</f>
        <v/>
      </c>
    </row>
    <row r="15" outlineLevel="1" ht="24" customHeight="1">
      <c r="A15" s="82" t="n"/>
      <c r="B15" s="30">
        <f>RUBRICA!A7</f>
        <v/>
      </c>
      <c r="C15" s="28" t="inlineStr">
        <is>
          <t>Completamente logrado</t>
        </is>
      </c>
      <c r="D15" s="16">
        <f>IF($C15=CL,"X","")</f>
        <v/>
      </c>
      <c r="E15" s="16">
        <f>IF(D15="X",100*0.05,"")</f>
        <v/>
      </c>
      <c r="F15" s="16">
        <f>IF($C15=L,"X","")</f>
        <v/>
      </c>
      <c r="G15" s="16">
        <f>IF(F15="X",60*0.05,"")</f>
        <v/>
      </c>
      <c r="H15" s="16">
        <f>IF($C15=ML,"X","")</f>
        <v/>
      </c>
      <c r="I15" s="16">
        <f>IF(H15="X",30*0.05,"")</f>
        <v/>
      </c>
      <c r="J15" s="16">
        <f>IF($C15=NL,"X","")</f>
        <v/>
      </c>
      <c r="K15" s="16">
        <f>IF($J15="X",0,"")</f>
        <v/>
      </c>
    </row>
    <row r="16" outlineLevel="1" ht="24" customHeight="1">
      <c r="A16" s="82" t="n"/>
      <c r="B16" s="30">
        <f>RUBRICA!A8</f>
        <v/>
      </c>
      <c r="C16" s="28" t="inlineStr">
        <is>
          <t>Completamente logrado</t>
        </is>
      </c>
      <c r="D16" s="16">
        <f>IF($C16=CL,"X","")</f>
        <v/>
      </c>
      <c r="E16" s="16">
        <f>IF(D16="X",100*0.05,"")</f>
        <v/>
      </c>
      <c r="F16" s="16">
        <f>IF($C16=L,"X","")</f>
        <v/>
      </c>
      <c r="G16" s="16">
        <f>IF(F16="X",60*0.05,"")</f>
        <v/>
      </c>
      <c r="H16" s="16">
        <f>IF($C16=ML,"X","")</f>
        <v/>
      </c>
      <c r="I16" s="16">
        <f>IF(H16="X",30*0.05,"")</f>
        <v/>
      </c>
      <c r="J16" s="16">
        <f>IF($C16=NL,"X","")</f>
        <v/>
      </c>
      <c r="K16" s="16">
        <f>IF($J16="X",0,"")</f>
        <v/>
      </c>
    </row>
    <row r="17" outlineLevel="1" ht="24" customHeight="1">
      <c r="A17" s="82" t="n"/>
      <c r="B17" s="30">
        <f>RUBRICA!A9</f>
        <v/>
      </c>
      <c r="C17" s="28" t="inlineStr">
        <is>
          <t>Completamente logrado</t>
        </is>
      </c>
      <c r="D17" s="16">
        <f>IF($C17=CL,"X","")</f>
        <v/>
      </c>
      <c r="E17" s="16">
        <f>IF(D17="X",100*0.05,"")</f>
        <v/>
      </c>
      <c r="F17" s="16">
        <f>IF($C17=L,"X","")</f>
        <v/>
      </c>
      <c r="G17" s="16">
        <f>IF(F17="X",60*0.05,"")</f>
        <v/>
      </c>
      <c r="H17" s="16">
        <f>IF($C17=ML,"X","")</f>
        <v/>
      </c>
      <c r="I17" s="16">
        <f>IF(H17="X",30*0.05,"")</f>
        <v/>
      </c>
      <c r="J17" s="16">
        <f>IF($C17=NL,"X","")</f>
        <v/>
      </c>
      <c r="K17" s="16">
        <f>IF($J17="X",0,"")</f>
        <v/>
      </c>
    </row>
    <row r="18" outlineLevel="1" ht="24" customHeight="1">
      <c r="A18" s="82" t="n"/>
      <c r="B18" s="30">
        <f>RUBRICA!A10</f>
        <v/>
      </c>
      <c r="C18" s="28" t="inlineStr">
        <is>
          <t>Completamente logrado</t>
        </is>
      </c>
      <c r="D18" s="16">
        <f>IF($C18=CL,"X","")</f>
        <v/>
      </c>
      <c r="E18" s="16">
        <f>IF(D18="X",100*0.15,"")</f>
        <v/>
      </c>
      <c r="F18" s="16">
        <f>IF($C18=L,"X","")</f>
        <v/>
      </c>
      <c r="G18" s="16">
        <f>IF(F18="X",60*0.15,"")</f>
        <v/>
      </c>
      <c r="H18" s="16">
        <f>IF($C18=ML,"X","")</f>
        <v/>
      </c>
      <c r="I18" s="16">
        <f>IF(H18="X",30*0.15,"")</f>
        <v/>
      </c>
      <c r="J18" s="16">
        <f>IF($C18=NL,"X","")</f>
        <v/>
      </c>
      <c r="K18" s="16">
        <f>IF($J18="X",0,"")</f>
        <v/>
      </c>
    </row>
    <row r="19" outlineLevel="1" ht="22.9" customHeight="1">
      <c r="A19" s="82" t="n"/>
      <c r="B19" s="30">
        <f>RUBRICA!A12</f>
        <v/>
      </c>
      <c r="C19" s="28" t="inlineStr">
        <is>
          <t>Completamente logrado</t>
        </is>
      </c>
      <c r="D19" s="16">
        <f>IF($C19=CL,"X","")</f>
        <v/>
      </c>
      <c r="E19" s="16">
        <f>IF(D19="X",100*0.15,"")</f>
        <v/>
      </c>
      <c r="F19" s="16">
        <f>IF($C19=L,"X","")</f>
        <v/>
      </c>
      <c r="G19" s="16">
        <f>IF(F19="X",60*0.15,"")</f>
        <v/>
      </c>
      <c r="H19" s="16">
        <f>IF($C19=ML,"X","")</f>
        <v/>
      </c>
      <c r="I19" s="16">
        <f>IF(H19="X",30*0.15,"")</f>
        <v/>
      </c>
      <c r="J19" s="16">
        <f>IF($C19=NL,"X","")</f>
        <v/>
      </c>
      <c r="K19" s="16">
        <f>IF($J19="X",0,"")</f>
        <v/>
      </c>
    </row>
    <row r="20" outlineLevel="1" ht="15.75" customHeight="1">
      <c r="A20" s="82" t="n"/>
      <c r="B20" s="29" t="inlineStr">
        <is>
          <t>Puntaje</t>
        </is>
      </c>
      <c r="C20" s="33">
        <f>E20+G20+I20+K20</f>
        <v/>
      </c>
      <c r="D20" s="19" t="n"/>
      <c r="E20" s="19">
        <f>SUM(E13:E19)</f>
        <v/>
      </c>
      <c r="F20" s="19" t="n"/>
      <c r="G20" s="19">
        <f>SUM(G13:G19)</f>
        <v/>
      </c>
      <c r="H20" s="19" t="n"/>
      <c r="I20" s="19">
        <f>SUM(I13:I19)</f>
        <v/>
      </c>
      <c r="J20" s="19" t="n"/>
      <c r="K20" s="19">
        <f>SUM(K13:K19)</f>
        <v/>
      </c>
    </row>
    <row r="21" outlineLevel="1" ht="15.75" customHeight="1">
      <c r="A21" s="78" t="n"/>
      <c r="B21" s="32" t="inlineStr">
        <is>
          <t>Nota</t>
        </is>
      </c>
      <c r="C21" s="20">
        <f>VLOOKUP(C20,ESCALA_IEP!A1:B152,2,FALSE)</f>
        <v/>
      </c>
    </row>
    <row r="22" ht="15.75" customHeight="1"/>
    <row r="23" ht="15.75" customHeight="1"/>
    <row r="24" ht="15.75" customHeight="1">
      <c r="A24" s="84" t="inlineStr">
        <is>
          <t>INDIVIDUAL</t>
        </is>
      </c>
      <c r="B24" s="85" t="inlineStr">
        <is>
          <t>NOMBRE ALUMNO</t>
        </is>
      </c>
      <c r="C24" s="86">
        <f>$B$4</f>
        <v/>
      </c>
      <c r="D24" s="87" t="n"/>
      <c r="E24" s="87" t="n"/>
      <c r="F24" s="87" t="n"/>
      <c r="G24" s="87" t="n"/>
      <c r="H24" s="87" t="n"/>
      <c r="I24" s="87" t="n"/>
      <c r="J24" s="87" t="n"/>
      <c r="K24" s="88" t="n"/>
    </row>
    <row r="25" ht="15.75" customHeight="1">
      <c r="A25" s="82" t="n"/>
      <c r="B25" s="78" t="n"/>
      <c r="C25" s="89" t="n"/>
      <c r="D25" s="90" t="n"/>
      <c r="E25" s="90" t="n"/>
      <c r="F25" s="90" t="n"/>
      <c r="G25" s="90" t="n"/>
      <c r="H25" s="90" t="n"/>
      <c r="I25" s="90" t="n"/>
      <c r="J25" s="90" t="n"/>
      <c r="K25" s="91" t="n"/>
    </row>
    <row r="26" ht="15.75" customHeight="1">
      <c r="A26" s="82" t="n"/>
      <c r="B26" s="14" t="inlineStr">
        <is>
          <t>Capacidad de Trabajo en Equipo</t>
        </is>
      </c>
      <c r="C26" s="15" t="inlineStr">
        <is>
          <t>Nivel de Logro</t>
        </is>
      </c>
      <c r="D26" s="15" t="inlineStr">
        <is>
          <t>NIVELES DE LOGRO Y PUNTAJES</t>
        </is>
      </c>
      <c r="E26" s="80" t="n"/>
      <c r="F26" s="80" t="n"/>
      <c r="G26" s="80" t="n"/>
      <c r="H26" s="80" t="n"/>
      <c r="I26" s="80" t="n"/>
      <c r="J26" s="80" t="n"/>
      <c r="K26" s="81" t="n"/>
    </row>
    <row r="27" ht="15.75" customHeight="1">
      <c r="A27" s="82" t="n"/>
      <c r="B27" s="15" t="inlineStr">
        <is>
          <t>Aspectos a Evaluar</t>
        </is>
      </c>
      <c r="C27" s="78" t="n"/>
      <c r="D27" s="15" t="inlineStr">
        <is>
          <t>Completamente logrado</t>
        </is>
      </c>
      <c r="E27" s="81" t="n"/>
      <c r="F27" s="15" t="inlineStr">
        <is>
          <t>Logrado</t>
        </is>
      </c>
      <c r="G27" s="81" t="n"/>
      <c r="H27" s="83" t="inlineStr">
        <is>
          <t>Logro Incipiente</t>
        </is>
      </c>
      <c r="I27" s="81" t="n"/>
      <c r="J27" s="15" t="inlineStr">
        <is>
          <t>No logrado</t>
        </is>
      </c>
      <c r="K27" s="81" t="n"/>
    </row>
    <row r="28" ht="24" customHeight="1">
      <c r="A28" s="82" t="n"/>
      <c r="B28" s="30">
        <f>RUBRICA!A6</f>
        <v/>
      </c>
      <c r="C28" s="28" t="inlineStr">
        <is>
          <t>Completamente logrado</t>
        </is>
      </c>
      <c r="D28" s="16">
        <f>IF($C28=CL,"X","")</f>
        <v/>
      </c>
      <c r="E28" s="16">
        <f>IF(D28="X",100*0.05,"")</f>
        <v/>
      </c>
      <c r="F28" s="16">
        <f>IF($C28=L,"X","")</f>
        <v/>
      </c>
      <c r="G28" s="16">
        <f>IF(F28="X",60*0.05,"")</f>
        <v/>
      </c>
      <c r="H28" s="16">
        <f>IF($C28=ML,"X","")</f>
        <v/>
      </c>
      <c r="I28" s="16">
        <f>IF(H28="X",30*0.05,"")</f>
        <v/>
      </c>
      <c r="J28" s="16">
        <f>IF($C28=NL,"X","")</f>
        <v/>
      </c>
      <c r="K28" s="16">
        <f>IF($J28="X",0,"")</f>
        <v/>
      </c>
    </row>
    <row r="29" ht="24.6" customHeight="1">
      <c r="A29" s="82" t="n"/>
      <c r="B29" s="30">
        <f>RUBRICA!A11</f>
        <v/>
      </c>
      <c r="C29" s="28" t="inlineStr">
        <is>
          <t>Completamente logrado</t>
        </is>
      </c>
      <c r="D29" s="16">
        <f>IF($C29=CL,"X","")</f>
        <v/>
      </c>
      <c r="E29" s="16">
        <f>IF(D29="X",100*0.1,"")</f>
        <v/>
      </c>
      <c r="F29" s="16">
        <f>IF($C29=L,"X","")</f>
        <v/>
      </c>
      <c r="G29" s="16">
        <f>IF(F29="X",60*0.1,"")</f>
        <v/>
      </c>
      <c r="H29" s="16">
        <f>IF($C29=ML,"X","")</f>
        <v/>
      </c>
      <c r="I29" s="16">
        <f>IF(H29="X",30*0.1,"")</f>
        <v/>
      </c>
      <c r="J29" s="16">
        <f>IF($C29=NL,"X","")</f>
        <v/>
      </c>
      <c r="K29" s="16">
        <f>IF($J29="X",0,"")</f>
        <v/>
      </c>
    </row>
    <row r="30" ht="25.9" customHeight="1">
      <c r="A30" s="82" t="n"/>
      <c r="B30" s="30">
        <f>RUBRICA!A13</f>
        <v/>
      </c>
      <c r="C30" s="28" t="inlineStr">
        <is>
          <t>Completamente logrado</t>
        </is>
      </c>
      <c r="D30" s="16">
        <f>IF($C30=CL,"X","")</f>
        <v/>
      </c>
      <c r="E30" s="16">
        <f>IF(D30="X",100*0.1,"")</f>
        <v/>
      </c>
      <c r="F30" s="16">
        <f>IF($C30=L,"X","")</f>
        <v/>
      </c>
      <c r="G30" s="16">
        <f>IF(F30="X",60*0.1,"")</f>
        <v/>
      </c>
      <c r="H30" s="16">
        <f>IF($C30=ML,"X","")</f>
        <v/>
      </c>
      <c r="I30" s="16">
        <f>IF(H30="X",30*0.1,"")</f>
        <v/>
      </c>
      <c r="J30" s="16">
        <f>IF($C30=NL,"X","")</f>
        <v/>
      </c>
      <c r="K30" s="16">
        <f>IF($J30="X",0,"")</f>
        <v/>
      </c>
    </row>
    <row r="31" ht="15.75" customHeight="1">
      <c r="A31" s="82" t="n"/>
      <c r="B31" s="21" t="inlineStr">
        <is>
          <t>PUNTAJE</t>
        </is>
      </c>
      <c r="C31" s="18">
        <f>E31+G31+I31+K31</f>
        <v/>
      </c>
      <c r="D31" s="19" t="n"/>
      <c r="E31" s="19">
        <f>SUM(E28:E30)</f>
        <v/>
      </c>
      <c r="F31" s="19" t="n"/>
      <c r="G31" s="19">
        <f>SUM(G28:G30)</f>
        <v/>
      </c>
      <c r="H31" s="19" t="n"/>
      <c r="I31" s="19">
        <f>SUM(I28:I30)</f>
        <v/>
      </c>
      <c r="J31" s="19" t="n"/>
      <c r="K31" s="19">
        <f>SUM(K29:K30)</f>
        <v/>
      </c>
    </row>
    <row r="32" ht="15.75" customHeight="1">
      <c r="A32" s="78" t="n"/>
      <c r="B32" s="17" t="inlineStr">
        <is>
          <t>Nota</t>
        </is>
      </c>
      <c r="C32" s="20">
        <f>VLOOKUP(C31,ESCALA_TRAB_EQUIP!A1:B52,2,FALSE)</f>
        <v/>
      </c>
    </row>
    <row r="33" ht="15.75" customHeight="1">
      <c r="B33" s="22" t="n"/>
      <c r="C33" s="23" t="n"/>
    </row>
    <row r="34" ht="15.75" customHeight="1">
      <c r="B34" s="22" t="n"/>
      <c r="C34" s="23" t="n"/>
    </row>
    <row r="35" ht="15.75" customHeight="1"/>
    <row r="36" ht="15.75" customHeight="1">
      <c r="A36" s="84" t="inlineStr">
        <is>
          <t>INDIVIDUAL</t>
        </is>
      </c>
      <c r="B36" s="85" t="inlineStr">
        <is>
          <t>NOMBRE ALUMNO</t>
        </is>
      </c>
      <c r="C36" s="86">
        <f>B5</f>
        <v/>
      </c>
      <c r="D36" s="87" t="n"/>
      <c r="E36" s="87" t="n"/>
      <c r="F36" s="87" t="n"/>
      <c r="G36" s="87" t="n"/>
      <c r="H36" s="87" t="n"/>
      <c r="I36" s="87" t="n"/>
      <c r="J36" s="87" t="n"/>
      <c r="K36" s="88" t="n"/>
    </row>
    <row r="37" ht="15.75" customHeight="1">
      <c r="A37" s="82" t="n"/>
      <c r="B37" s="78" t="n"/>
      <c r="C37" s="89" t="n"/>
      <c r="D37" s="90" t="n"/>
      <c r="E37" s="90" t="n"/>
      <c r="F37" s="90" t="n"/>
      <c r="G37" s="90" t="n"/>
      <c r="H37" s="90" t="n"/>
      <c r="I37" s="90" t="n"/>
      <c r="J37" s="90" t="n"/>
      <c r="K37" s="91" t="n"/>
    </row>
    <row r="38" ht="15.75" customHeight="1">
      <c r="A38" s="82" t="n"/>
      <c r="B38" s="14" t="inlineStr">
        <is>
          <t>Capacidad de Trabajo en Equipo</t>
        </is>
      </c>
      <c r="C38" s="15" t="inlineStr">
        <is>
          <t>Nivel de Logro</t>
        </is>
      </c>
      <c r="D38" s="15" t="inlineStr">
        <is>
          <t>NIVELES DE LOGRO Y PUNTAJES</t>
        </is>
      </c>
      <c r="E38" s="80" t="n"/>
      <c r="F38" s="80" t="n"/>
      <c r="G38" s="80" t="n"/>
      <c r="H38" s="80" t="n"/>
      <c r="I38" s="80" t="n"/>
      <c r="J38" s="80" t="n"/>
      <c r="K38" s="81" t="n"/>
    </row>
    <row r="39" ht="15.75" customHeight="1">
      <c r="A39" s="82" t="n"/>
      <c r="B39" s="15" t="inlineStr">
        <is>
          <t>Aspectos a Evaluar</t>
        </is>
      </c>
      <c r="C39" s="78" t="n"/>
      <c r="D39" s="15" t="inlineStr">
        <is>
          <t>Completamente logrado</t>
        </is>
      </c>
      <c r="E39" s="81" t="n"/>
      <c r="F39" s="15" t="inlineStr">
        <is>
          <t>Logrado</t>
        </is>
      </c>
      <c r="G39" s="81" t="n"/>
      <c r="H39" s="83" t="inlineStr">
        <is>
          <t>Logro Incipiente</t>
        </is>
      </c>
      <c r="I39" s="81" t="n"/>
      <c r="J39" s="15" t="inlineStr">
        <is>
          <t>No logrado</t>
        </is>
      </c>
      <c r="K39" s="81" t="n"/>
    </row>
    <row r="40" ht="15.75" customHeight="1">
      <c r="A40" s="82" t="n"/>
      <c r="B40" s="30">
        <f>RUBRICA!A6</f>
        <v/>
      </c>
      <c r="C40" s="28" t="n"/>
      <c r="D40" s="16">
        <f>IF($C40=CL,"X","")</f>
        <v/>
      </c>
      <c r="E40" s="16">
        <f>IF(D40="X",100*0.05,"")</f>
        <v/>
      </c>
      <c r="F40" s="16">
        <f>IF($C40=L,"X","")</f>
        <v/>
      </c>
      <c r="G40" s="16">
        <f>IF(F40="X",60*0.05,"")</f>
        <v/>
      </c>
      <c r="H40" s="16">
        <f>IF($C40=ML,"X","")</f>
        <v/>
      </c>
      <c r="I40" s="16">
        <f>IF(H40="X",30*0.05,"")</f>
        <v/>
      </c>
      <c r="J40" s="16">
        <f>IF($C40=NL,"X","")</f>
        <v/>
      </c>
      <c r="K40" s="16">
        <f>IF($J40="X",0,"")</f>
        <v/>
      </c>
    </row>
    <row r="41" ht="25.9" customHeight="1">
      <c r="A41" s="82" t="n"/>
      <c r="B41" s="30">
        <f>RUBRICA!A11</f>
        <v/>
      </c>
      <c r="C41" s="28" t="n"/>
      <c r="D41" s="16">
        <f>IF($C41=CL,"X","")</f>
        <v/>
      </c>
      <c r="E41" s="16">
        <f>IF(D41="X",100*0.1,"")</f>
        <v/>
      </c>
      <c r="F41" s="16">
        <f>IF($C41=L,"X","")</f>
        <v/>
      </c>
      <c r="G41" s="16">
        <f>IF(F41="X",60*0.1,"")</f>
        <v/>
      </c>
      <c r="H41" s="16">
        <f>IF($C41=ML,"X","")</f>
        <v/>
      </c>
      <c r="I41" s="16">
        <f>IF(H41="X",30*0.1,"")</f>
        <v/>
      </c>
      <c r="J41" s="16">
        <f>IF($C41=NL,"X","")</f>
        <v/>
      </c>
      <c r="K41" s="16">
        <f>IF($J41="X",0,"")</f>
        <v/>
      </c>
    </row>
    <row r="42" ht="14.45" customHeight="1">
      <c r="A42" s="82" t="n"/>
      <c r="B42" s="30">
        <f>RUBRICA!A13</f>
        <v/>
      </c>
      <c r="C42" s="28" t="n"/>
      <c r="D42" s="16">
        <f>IF($C42=CL,"X","")</f>
        <v/>
      </c>
      <c r="E42" s="16">
        <f>IF(D42="X",100*0.1,"")</f>
        <v/>
      </c>
      <c r="F42" s="16">
        <f>IF($C42=L,"X","")</f>
        <v/>
      </c>
      <c r="G42" s="16">
        <f>IF(F42="X",60*0.1,"")</f>
        <v/>
      </c>
      <c r="H42" s="16">
        <f>IF($C42=ML,"X","")</f>
        <v/>
      </c>
      <c r="I42" s="16">
        <f>IF(H42="X",30*0.1,"")</f>
        <v/>
      </c>
      <c r="J42" s="16">
        <f>IF($C42=NL,"X","")</f>
        <v/>
      </c>
      <c r="K42" s="16">
        <f>IF($J42="X",0,"")</f>
        <v/>
      </c>
    </row>
    <row r="43" ht="15.75" customHeight="1">
      <c r="A43" s="82" t="n"/>
      <c r="B43" s="21" t="inlineStr">
        <is>
          <t>PUNTAJE</t>
        </is>
      </c>
      <c r="C43" s="18">
        <f>E43+G43+I43+K43</f>
        <v/>
      </c>
      <c r="D43" s="19" t="n"/>
      <c r="E43" s="19">
        <f>SUM(E40:E42)</f>
        <v/>
      </c>
      <c r="F43" s="19" t="n"/>
      <c r="G43" s="19">
        <f>SUM(G40:G42)</f>
        <v/>
      </c>
      <c r="H43" s="19" t="n"/>
      <c r="I43" s="19">
        <f>SUM(I40:I42)</f>
        <v/>
      </c>
      <c r="J43" s="19" t="n"/>
      <c r="K43" s="19">
        <f>SUM(K41:K42)</f>
        <v/>
      </c>
    </row>
    <row r="44" ht="15.75" customHeight="1">
      <c r="A44" s="78" t="n"/>
      <c r="B44" s="17" t="inlineStr">
        <is>
          <t>Nota</t>
        </is>
      </c>
      <c r="C44" s="20">
        <f>VLOOKUP(C43,ESCALA_TRAB_EQUIP!A1:B52,2,FALSE)</f>
        <v/>
      </c>
    </row>
    <row r="45" ht="15.75" customHeight="1">
      <c r="B45" s="22" t="n"/>
      <c r="C45" s="23" t="n"/>
    </row>
    <row r="46" ht="15.75" customHeight="1">
      <c r="B46" s="22" t="n"/>
      <c r="C46" s="23" t="n"/>
    </row>
    <row r="47" ht="15.75" customHeight="1">
      <c r="A47" s="84" t="inlineStr">
        <is>
          <t>INDIVIDUAL</t>
        </is>
      </c>
      <c r="B47" s="85" t="inlineStr">
        <is>
          <t>NOMBRE ALUMNO</t>
        </is>
      </c>
      <c r="C47" s="86">
        <f>B6</f>
        <v/>
      </c>
      <c r="D47" s="87" t="n"/>
      <c r="E47" s="87" t="n"/>
      <c r="F47" s="87" t="n"/>
      <c r="G47" s="87" t="n"/>
      <c r="H47" s="87" t="n"/>
      <c r="I47" s="87" t="n"/>
      <c r="J47" s="87" t="n"/>
      <c r="K47" s="88" t="n"/>
    </row>
    <row r="48" ht="15.75" customHeight="1">
      <c r="A48" s="82" t="n"/>
      <c r="B48" s="78" t="n"/>
      <c r="C48" s="89" t="n"/>
      <c r="D48" s="90" t="n"/>
      <c r="E48" s="90" t="n"/>
      <c r="F48" s="90" t="n"/>
      <c r="G48" s="90" t="n"/>
      <c r="H48" s="90" t="n"/>
      <c r="I48" s="90" t="n"/>
      <c r="J48" s="90" t="n"/>
      <c r="K48" s="91" t="n"/>
    </row>
    <row r="49" ht="15.75" customHeight="1">
      <c r="A49" s="82" t="n"/>
      <c r="B49" s="14" t="inlineStr">
        <is>
          <t>Capacidad de Trabajo en Equipo</t>
        </is>
      </c>
      <c r="C49" s="15" t="inlineStr">
        <is>
          <t>Nivel de Logro</t>
        </is>
      </c>
      <c r="D49" s="15" t="inlineStr">
        <is>
          <t>NIVELES DE LOGRO Y PUNTAJES</t>
        </is>
      </c>
      <c r="E49" s="80" t="n"/>
      <c r="F49" s="80" t="n"/>
      <c r="G49" s="80" t="n"/>
      <c r="H49" s="80" t="n"/>
      <c r="I49" s="80" t="n"/>
      <c r="J49" s="80" t="n"/>
      <c r="K49" s="81" t="n"/>
    </row>
    <row r="50" ht="15.75" customHeight="1">
      <c r="A50" s="82" t="n"/>
      <c r="B50" s="15" t="inlineStr">
        <is>
          <t>Aspectos a Evaluar</t>
        </is>
      </c>
      <c r="C50" s="78" t="n"/>
      <c r="D50" s="15" t="inlineStr">
        <is>
          <t>Completamente logrado</t>
        </is>
      </c>
      <c r="E50" s="81" t="n"/>
      <c r="F50" s="15" t="inlineStr">
        <is>
          <t>Logrado</t>
        </is>
      </c>
      <c r="G50" s="81" t="n"/>
      <c r="H50" s="83" t="inlineStr">
        <is>
          <t>Logro Incipiente</t>
        </is>
      </c>
      <c r="I50" s="81" t="n"/>
      <c r="J50" s="15" t="inlineStr">
        <is>
          <t>No logrado</t>
        </is>
      </c>
      <c r="K50" s="81" t="n"/>
    </row>
    <row r="51" ht="15.75" customHeight="1">
      <c r="A51" s="82" t="n"/>
      <c r="B51" s="30">
        <f>RUBRICA!A6</f>
        <v/>
      </c>
      <c r="C51" s="28" t="n"/>
      <c r="D51" s="16">
        <f>IF($C51=CL,"X","")</f>
        <v/>
      </c>
      <c r="E51" s="16">
        <f>IF(D51="X",100*0.05,"")</f>
        <v/>
      </c>
      <c r="F51" s="16">
        <f>IF($C51=L,"X","")</f>
        <v/>
      </c>
      <c r="G51" s="16">
        <f>IF(F51="X",60*0.05,"")</f>
        <v/>
      </c>
      <c r="H51" s="16">
        <f>IF($C51=ML,"X","")</f>
        <v/>
      </c>
      <c r="I51" s="16">
        <f>IF(H51="X",30*0.05,"")</f>
        <v/>
      </c>
      <c r="J51" s="16">
        <f>IF($C51=NL,"X","")</f>
        <v/>
      </c>
      <c r="K51" s="16">
        <f>IF($J51="X",0,"")</f>
        <v/>
      </c>
    </row>
    <row r="52" ht="25.9" customHeight="1">
      <c r="A52" s="82" t="n"/>
      <c r="B52" s="30">
        <f>RUBRICA!A11</f>
        <v/>
      </c>
      <c r="C52" s="28" t="n"/>
      <c r="D52" s="16">
        <f>IF($C52=CL,"X","")</f>
        <v/>
      </c>
      <c r="E52" s="16">
        <f>IF(D52="X",100*0.1,"")</f>
        <v/>
      </c>
      <c r="F52" s="16">
        <f>IF($C52=L,"X","")</f>
        <v/>
      </c>
      <c r="G52" s="16">
        <f>IF(F52="X",60*0.1,"")</f>
        <v/>
      </c>
      <c r="H52" s="16">
        <f>IF($C52=ML,"X","")</f>
        <v/>
      </c>
      <c r="I52" s="16">
        <f>IF(H52="X",30*0.1,"")</f>
        <v/>
      </c>
      <c r="J52" s="16">
        <f>IF($C52=NL,"X","")</f>
        <v/>
      </c>
      <c r="K52" s="16">
        <f>IF($J52="X",0,"")</f>
        <v/>
      </c>
    </row>
    <row r="53" ht="14.45" customHeight="1">
      <c r="A53" s="82" t="n"/>
      <c r="B53" s="30">
        <f>RUBRICA!A13</f>
        <v/>
      </c>
      <c r="C53" s="28" t="n"/>
      <c r="D53" s="16">
        <f>IF($C53=CL,"X","")</f>
        <v/>
      </c>
      <c r="E53" s="16">
        <f>IF(D53="X",100*0.1,"")</f>
        <v/>
      </c>
      <c r="F53" s="16">
        <f>IF($C53=L,"X","")</f>
        <v/>
      </c>
      <c r="G53" s="16">
        <f>IF(F53="X",60*0.1,"")</f>
        <v/>
      </c>
      <c r="H53" s="16">
        <f>IF($C53=ML,"X","")</f>
        <v/>
      </c>
      <c r="I53" s="16">
        <f>IF(H53="X",30*0.1,"")</f>
        <v/>
      </c>
      <c r="J53" s="16">
        <f>IF($C53=NL,"X","")</f>
        <v/>
      </c>
      <c r="K53" s="16">
        <f>IF($J53="X",0,"")</f>
        <v/>
      </c>
    </row>
    <row r="54" ht="15.75" customHeight="1">
      <c r="A54" s="82" t="n"/>
      <c r="B54" s="21" t="inlineStr">
        <is>
          <t>PUNTAJE</t>
        </is>
      </c>
      <c r="C54" s="18">
        <f>E54+G54+I54+K54</f>
        <v/>
      </c>
      <c r="D54" s="19" t="n"/>
      <c r="E54" s="19">
        <f>SUM(E51:E53)</f>
        <v/>
      </c>
      <c r="F54" s="19" t="n"/>
      <c r="G54" s="19">
        <f>SUM(G51:G53)</f>
        <v/>
      </c>
      <c r="H54" s="19" t="n"/>
      <c r="I54" s="19">
        <f>SUM(I51:I53)</f>
        <v/>
      </c>
      <c r="J54" s="19" t="n"/>
      <c r="K54" s="19">
        <f>SUM(K52:K53)</f>
        <v/>
      </c>
    </row>
    <row r="55" ht="15.75" customHeight="1">
      <c r="A55" s="78" t="n"/>
      <c r="B55" s="17" t="inlineStr">
        <is>
          <t>Nota</t>
        </is>
      </c>
      <c r="C55" s="20">
        <f>VLOOKUP(C54,ESCALA_TRAB_EQUIP!A1:B52,2,FALSE)</f>
        <v/>
      </c>
    </row>
    <row r="56" ht="15.75" customHeight="1">
      <c r="B56" s="22" t="n"/>
      <c r="C56" s="23" t="n"/>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J39:K39"/>
    <mergeCell ref="D26:K26"/>
    <mergeCell ref="B47:B48"/>
    <mergeCell ref="H50:I50"/>
    <mergeCell ref="D50:E50"/>
    <mergeCell ref="C26:C27"/>
    <mergeCell ref="H39:I39"/>
    <mergeCell ref="C24:K25"/>
    <mergeCell ref="F12:G12"/>
    <mergeCell ref="D49:K49"/>
    <mergeCell ref="D11:K11"/>
    <mergeCell ref="D27:E27"/>
    <mergeCell ref="J27:K27"/>
    <mergeCell ref="C11:C12"/>
    <mergeCell ref="F50:G50"/>
    <mergeCell ref="B24:B25"/>
    <mergeCell ref="E2:E3"/>
    <mergeCell ref="A47:A55"/>
    <mergeCell ref="B36:B37"/>
    <mergeCell ref="F27:G27"/>
    <mergeCell ref="C47:K48"/>
    <mergeCell ref="H27:I27"/>
    <mergeCell ref="D12:E12"/>
    <mergeCell ref="D39:E39"/>
    <mergeCell ref="F39:G39"/>
    <mergeCell ref="H12:I12"/>
    <mergeCell ref="J50:K50"/>
    <mergeCell ref="J12:K12"/>
    <mergeCell ref="C38:C39"/>
    <mergeCell ref="A24:A32"/>
    <mergeCell ref="C36:K37"/>
    <mergeCell ref="A36:A44"/>
    <mergeCell ref="D38:K38"/>
    <mergeCell ref="A11:A21"/>
    <mergeCell ref="C49:C50"/>
  </mergeCells>
  <conditionalFormatting sqref="C4:E6">
    <cfRule type="cellIs" priority="1" operator="lessThan" dxfId="0">
      <formula>4</formula>
    </cfRule>
    <cfRule type="cellIs" priority="2" operator="lessThan" dxfId="0">
      <formula>1</formula>
    </cfRule>
  </conditionalFormatting>
  <dataValidations count="1">
    <dataValidation sqref="C4:E6" showDropDown="0" showInputMessage="1" showErrorMessage="1" allowBlank="1" prompt="Error de Ingreso - Nota debe estar entre 1,0 y 7,0" type="decimal">
      <formula1>1</formula1>
      <formula2>7</formula2>
    </dataValidation>
  </dataValidation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B152"/>
  <sheetViews>
    <sheetView topLeftCell="A146" workbookViewId="0">
      <selection activeCell="A153" sqref="A153:B162"/>
    </sheetView>
  </sheetViews>
  <sheetFormatPr baseColWidth="8" defaultColWidth="14.42578125" defaultRowHeight="15" customHeight="1"/>
  <cols>
    <col width="10.7109375" customWidth="1" min="1" max="26"/>
  </cols>
  <sheetData>
    <row r="1" ht="14.45" customHeight="1">
      <c r="A1" t="inlineStr">
        <is>
          <t>Puntaje</t>
        </is>
      </c>
      <c r="B1" t="inlineStr">
        <is>
          <t>Nota</t>
        </is>
      </c>
    </row>
    <row r="2" ht="14.45" customHeight="1">
      <c r="A2" t="n">
        <v>0</v>
      </c>
      <c r="B2" t="n">
        <v>1</v>
      </c>
    </row>
    <row r="3" ht="14.45" customHeight="1">
      <c r="A3" t="n">
        <v>0.5</v>
      </c>
      <c r="B3" t="n">
        <v>1</v>
      </c>
    </row>
    <row r="4" ht="14.45" customHeight="1">
      <c r="A4" t="n">
        <v>1</v>
      </c>
      <c r="B4" t="n">
        <v>1.1</v>
      </c>
    </row>
    <row r="5" ht="14.45" customHeight="1">
      <c r="A5" t="n">
        <v>1.5</v>
      </c>
      <c r="B5" t="n">
        <v>1.1</v>
      </c>
    </row>
    <row r="6" ht="14.45" customHeight="1">
      <c r="A6" t="n">
        <v>2</v>
      </c>
      <c r="B6" t="n">
        <v>1.1</v>
      </c>
    </row>
    <row r="7" ht="14.45" customHeight="1">
      <c r="A7" t="n">
        <v>2.5</v>
      </c>
      <c r="B7" t="n">
        <v>1.2</v>
      </c>
    </row>
    <row r="8" ht="14.45" customHeight="1">
      <c r="A8" t="n">
        <v>3</v>
      </c>
      <c r="B8" t="n">
        <v>1.2</v>
      </c>
    </row>
    <row r="9" ht="14.45" customHeight="1">
      <c r="A9" t="n">
        <v>3.5</v>
      </c>
      <c r="B9" t="n">
        <v>1.2</v>
      </c>
    </row>
    <row r="10" ht="14.45" customHeight="1">
      <c r="A10" t="n">
        <v>4</v>
      </c>
      <c r="B10" t="n">
        <v>1.3</v>
      </c>
    </row>
    <row r="11" ht="14.45" customHeight="1">
      <c r="A11" t="n">
        <v>4.5</v>
      </c>
      <c r="B11" t="n">
        <v>1.3</v>
      </c>
    </row>
    <row r="12" ht="14.45" customHeight="1">
      <c r="A12" t="n">
        <v>5</v>
      </c>
      <c r="B12" t="n">
        <v>1.3</v>
      </c>
    </row>
    <row r="13" ht="14.45" customHeight="1">
      <c r="A13" t="n">
        <v>5.5</v>
      </c>
      <c r="B13" t="n">
        <v>1.4</v>
      </c>
    </row>
    <row r="14" ht="14.45" customHeight="1">
      <c r="A14" t="n">
        <v>6</v>
      </c>
      <c r="B14" t="n">
        <v>1.4</v>
      </c>
    </row>
    <row r="15" ht="14.45" customHeight="1">
      <c r="A15" t="n">
        <v>6.5</v>
      </c>
      <c r="B15" t="n">
        <v>1.4</v>
      </c>
    </row>
    <row r="16" ht="14.45" customHeight="1">
      <c r="A16" t="n">
        <v>7</v>
      </c>
      <c r="B16" t="n">
        <v>1.5</v>
      </c>
    </row>
    <row r="17" ht="14.45" customHeight="1">
      <c r="A17" t="n">
        <v>7.5</v>
      </c>
      <c r="B17" t="n">
        <v>1.5</v>
      </c>
    </row>
    <row r="18" ht="14.45" customHeight="1">
      <c r="A18" t="n">
        <v>8</v>
      </c>
      <c r="B18" t="n">
        <v>1.5</v>
      </c>
    </row>
    <row r="19" ht="14.45" customHeight="1">
      <c r="A19" t="n">
        <v>8.5</v>
      </c>
      <c r="B19" t="n">
        <v>1.6</v>
      </c>
    </row>
    <row r="20" ht="14.45" customHeight="1">
      <c r="A20" t="n">
        <v>9</v>
      </c>
      <c r="B20" t="n">
        <v>1.6</v>
      </c>
    </row>
    <row r="21" ht="15.75" customHeight="1">
      <c r="A21" t="n">
        <v>9.5</v>
      </c>
      <c r="B21" t="n">
        <v>1.6</v>
      </c>
    </row>
    <row r="22" ht="15.75" customHeight="1">
      <c r="A22" t="n">
        <v>10</v>
      </c>
      <c r="B22" t="n">
        <v>1.7</v>
      </c>
    </row>
    <row r="23" ht="15.75" customHeight="1">
      <c r="A23" t="n">
        <v>10.5</v>
      </c>
      <c r="B23" t="n">
        <v>1.7</v>
      </c>
    </row>
    <row r="24" ht="15.75" customHeight="1">
      <c r="A24" t="n">
        <v>11</v>
      </c>
      <c r="B24" t="n">
        <v>1.7</v>
      </c>
    </row>
    <row r="25" ht="15.75" customHeight="1">
      <c r="A25" t="n">
        <v>11.5</v>
      </c>
      <c r="B25" t="n">
        <v>1.8</v>
      </c>
    </row>
    <row r="26" ht="15.75" customHeight="1">
      <c r="A26" t="n">
        <v>12</v>
      </c>
      <c r="B26" t="n">
        <v>1.8</v>
      </c>
    </row>
    <row r="27" ht="15.75" customHeight="1">
      <c r="A27" t="n">
        <v>12.5</v>
      </c>
      <c r="B27" t="n">
        <v>1.8</v>
      </c>
    </row>
    <row r="28" ht="15.75" customHeight="1">
      <c r="A28" t="n">
        <v>13</v>
      </c>
      <c r="B28" t="n">
        <v>1.9</v>
      </c>
    </row>
    <row r="29" ht="15.75" customHeight="1">
      <c r="A29" t="n">
        <v>13.5</v>
      </c>
      <c r="B29" t="n">
        <v>1.9</v>
      </c>
    </row>
    <row r="30" ht="15.75" customHeight="1">
      <c r="A30" t="n">
        <v>14</v>
      </c>
      <c r="B30" t="n">
        <v>1.9</v>
      </c>
    </row>
    <row r="31" ht="15.75" customHeight="1">
      <c r="A31" t="n">
        <v>14.5</v>
      </c>
      <c r="B31" t="n">
        <v>2</v>
      </c>
    </row>
    <row r="32" ht="15.75" customHeight="1">
      <c r="A32" t="n">
        <v>15</v>
      </c>
      <c r="B32" t="n">
        <v>2</v>
      </c>
    </row>
    <row r="33" ht="15.75" customHeight="1">
      <c r="A33" t="n">
        <v>15.5</v>
      </c>
      <c r="B33" t="n">
        <v>2</v>
      </c>
    </row>
    <row r="34" ht="15.75" customHeight="1">
      <c r="A34" t="n">
        <v>16</v>
      </c>
      <c r="B34" t="n">
        <v>2.1</v>
      </c>
    </row>
    <row r="35" ht="15.75" customHeight="1">
      <c r="A35" t="n">
        <v>16.5</v>
      </c>
      <c r="B35" t="n">
        <v>2.1</v>
      </c>
    </row>
    <row r="36" ht="15.75" customHeight="1">
      <c r="A36" t="n">
        <v>17</v>
      </c>
      <c r="B36" t="n">
        <v>2.1</v>
      </c>
    </row>
    <row r="37" ht="15.75" customHeight="1">
      <c r="A37" t="n">
        <v>17.5</v>
      </c>
      <c r="B37" t="n">
        <v>2.2</v>
      </c>
    </row>
    <row r="38" ht="15.75" customHeight="1">
      <c r="A38" t="n">
        <v>18</v>
      </c>
      <c r="B38" t="n">
        <v>2.2</v>
      </c>
    </row>
    <row r="39" ht="15.75" customHeight="1">
      <c r="A39" t="n">
        <v>18.5</v>
      </c>
      <c r="B39" t="n">
        <v>2.2</v>
      </c>
    </row>
    <row r="40" ht="15.75" customHeight="1">
      <c r="A40" t="n">
        <v>19</v>
      </c>
      <c r="B40" t="n">
        <v>2.3</v>
      </c>
    </row>
    <row r="41" ht="15.75" customHeight="1">
      <c r="A41" t="n">
        <v>19.5</v>
      </c>
      <c r="B41" t="n">
        <v>2.3</v>
      </c>
    </row>
    <row r="42" ht="15.75" customHeight="1">
      <c r="A42" t="n">
        <v>20</v>
      </c>
      <c r="B42" t="n">
        <v>2.3</v>
      </c>
    </row>
    <row r="43" ht="15.75" customHeight="1">
      <c r="A43" t="n">
        <v>20.5</v>
      </c>
      <c r="B43" t="n">
        <v>2.4</v>
      </c>
    </row>
    <row r="44" ht="15.75" customHeight="1">
      <c r="A44" t="n">
        <v>21</v>
      </c>
      <c r="B44" t="n">
        <v>2.4</v>
      </c>
    </row>
    <row r="45" ht="15.75" customHeight="1">
      <c r="A45" t="n">
        <v>21.5</v>
      </c>
      <c r="B45" t="n">
        <v>2.4</v>
      </c>
    </row>
    <row r="46" ht="15.75" customHeight="1">
      <c r="A46" t="n">
        <v>22</v>
      </c>
      <c r="B46" t="n">
        <v>2.5</v>
      </c>
    </row>
    <row r="47" ht="15.75" customHeight="1">
      <c r="A47" t="n">
        <v>22.5</v>
      </c>
      <c r="B47" t="n">
        <v>2.5</v>
      </c>
    </row>
    <row r="48" ht="15.75" customHeight="1">
      <c r="A48" t="n">
        <v>23</v>
      </c>
      <c r="B48" t="n">
        <v>2.5</v>
      </c>
    </row>
    <row r="49" ht="15.75" customHeight="1">
      <c r="A49" t="n">
        <v>23.5</v>
      </c>
      <c r="B49" t="n">
        <v>2.6</v>
      </c>
    </row>
    <row r="50" ht="15.75" customHeight="1">
      <c r="A50" t="n">
        <v>24</v>
      </c>
      <c r="B50" t="n">
        <v>2.6</v>
      </c>
    </row>
    <row r="51" ht="15.75" customHeight="1">
      <c r="A51" t="n">
        <v>24.5</v>
      </c>
      <c r="B51" t="n">
        <v>2.6</v>
      </c>
    </row>
    <row r="52" ht="15.75" customHeight="1">
      <c r="A52" t="n">
        <v>25</v>
      </c>
      <c r="B52" t="n">
        <v>2.7</v>
      </c>
    </row>
    <row r="53" ht="15.75" customHeight="1">
      <c r="A53" t="n">
        <v>25.5</v>
      </c>
      <c r="B53" t="n">
        <v>2.7</v>
      </c>
    </row>
    <row r="54" ht="15.75" customHeight="1">
      <c r="A54" t="n">
        <v>26</v>
      </c>
      <c r="B54" t="n">
        <v>2.7</v>
      </c>
    </row>
    <row r="55" ht="15.75" customHeight="1">
      <c r="A55" t="n">
        <v>26.5</v>
      </c>
      <c r="B55" t="n">
        <v>2.8</v>
      </c>
    </row>
    <row r="56" ht="15.75" customHeight="1">
      <c r="A56" t="n">
        <v>27</v>
      </c>
      <c r="B56" t="n">
        <v>2.8</v>
      </c>
    </row>
    <row r="57" ht="15.75" customHeight="1">
      <c r="A57" t="n">
        <v>27.5</v>
      </c>
      <c r="B57" t="n">
        <v>2.8</v>
      </c>
    </row>
    <row r="58" ht="15.75" customHeight="1">
      <c r="A58" t="n">
        <v>28</v>
      </c>
      <c r="B58" t="n">
        <v>2.9</v>
      </c>
    </row>
    <row r="59" ht="15.75" customHeight="1">
      <c r="A59" t="n">
        <v>28.5</v>
      </c>
      <c r="B59" t="n">
        <v>2.9</v>
      </c>
    </row>
    <row r="60" ht="15.75" customHeight="1">
      <c r="A60" t="n">
        <v>29</v>
      </c>
      <c r="B60" t="n">
        <v>2.9</v>
      </c>
    </row>
    <row r="61" ht="15.75" customHeight="1">
      <c r="A61" t="n">
        <v>29.5</v>
      </c>
      <c r="B61" t="n">
        <v>3</v>
      </c>
    </row>
    <row r="62" ht="15.75" customHeight="1">
      <c r="A62" t="n">
        <v>30</v>
      </c>
      <c r="B62" t="n">
        <v>3</v>
      </c>
    </row>
    <row r="63" ht="15.75" customHeight="1">
      <c r="A63" t="n">
        <v>30.5</v>
      </c>
      <c r="B63" t="n">
        <v>3</v>
      </c>
    </row>
    <row r="64" ht="15.75" customHeight="1">
      <c r="A64" t="n">
        <v>31</v>
      </c>
      <c r="B64" t="n">
        <v>3.1</v>
      </c>
    </row>
    <row r="65" ht="15.75" customHeight="1">
      <c r="A65" t="n">
        <v>31.5</v>
      </c>
      <c r="B65" t="n">
        <v>3.1</v>
      </c>
    </row>
    <row r="66" ht="15.75" customHeight="1">
      <c r="A66" t="n">
        <v>32</v>
      </c>
      <c r="B66" t="n">
        <v>3.1</v>
      </c>
    </row>
    <row r="67" ht="15.75" customHeight="1">
      <c r="A67" t="n">
        <v>32.5</v>
      </c>
      <c r="B67" t="n">
        <v>3.2</v>
      </c>
    </row>
    <row r="68" ht="15.75" customHeight="1">
      <c r="A68" t="n">
        <v>33</v>
      </c>
      <c r="B68" t="n">
        <v>3.2</v>
      </c>
    </row>
    <row r="69" ht="15.75" customHeight="1">
      <c r="A69" t="n">
        <v>33.5</v>
      </c>
      <c r="B69" t="n">
        <v>3.2</v>
      </c>
    </row>
    <row r="70" ht="15.75" customHeight="1">
      <c r="A70" t="n">
        <v>34</v>
      </c>
      <c r="B70" t="n">
        <v>3.3</v>
      </c>
    </row>
    <row r="71" ht="15.75" customHeight="1">
      <c r="A71" t="n">
        <v>34.5</v>
      </c>
      <c r="B71" t="n">
        <v>3.3</v>
      </c>
    </row>
    <row r="72" ht="15.75" customHeight="1">
      <c r="A72" t="n">
        <v>35</v>
      </c>
      <c r="B72" t="n">
        <v>3.3</v>
      </c>
    </row>
    <row r="73" ht="15.75" customHeight="1">
      <c r="A73" t="n">
        <v>35.5</v>
      </c>
      <c r="B73" t="n">
        <v>3.4</v>
      </c>
    </row>
    <row r="74" ht="15.75" customHeight="1">
      <c r="A74" t="n">
        <v>36</v>
      </c>
      <c r="B74" t="n">
        <v>3.4</v>
      </c>
    </row>
    <row r="75" ht="15.75" customHeight="1">
      <c r="A75" t="n">
        <v>36.5</v>
      </c>
      <c r="B75" t="n">
        <v>3.4</v>
      </c>
    </row>
    <row r="76" ht="15.75" customHeight="1">
      <c r="A76" t="n">
        <v>37</v>
      </c>
      <c r="B76" t="n">
        <v>3.5</v>
      </c>
    </row>
    <row r="77" ht="15.75" customHeight="1">
      <c r="A77" t="n">
        <v>37.5</v>
      </c>
      <c r="B77" t="n">
        <v>3.5</v>
      </c>
    </row>
    <row r="78" ht="15.75" customHeight="1">
      <c r="A78" t="n">
        <v>38</v>
      </c>
      <c r="B78" t="n">
        <v>3.5</v>
      </c>
    </row>
    <row r="79" ht="15.75" customHeight="1">
      <c r="A79" t="n">
        <v>38.5</v>
      </c>
      <c r="B79" t="n">
        <v>3.6</v>
      </c>
    </row>
    <row r="80" ht="15.75" customHeight="1">
      <c r="A80" t="n">
        <v>39</v>
      </c>
      <c r="B80" t="n">
        <v>3.6</v>
      </c>
    </row>
    <row r="81" ht="15.75" customHeight="1">
      <c r="A81" t="n">
        <v>39.5</v>
      </c>
      <c r="B81" t="n">
        <v>3.6</v>
      </c>
    </row>
    <row r="82" ht="15.75" customHeight="1">
      <c r="A82" t="n">
        <v>40</v>
      </c>
      <c r="B82" t="n">
        <v>3.7</v>
      </c>
    </row>
    <row r="83" ht="15.75" customHeight="1">
      <c r="A83" t="n">
        <v>40.5</v>
      </c>
      <c r="B83" t="n">
        <v>3.7</v>
      </c>
    </row>
    <row r="84" ht="15.75" customHeight="1">
      <c r="A84" t="n">
        <v>41</v>
      </c>
      <c r="B84" t="n">
        <v>3.7</v>
      </c>
    </row>
    <row r="85" ht="15.75" customHeight="1">
      <c r="A85" t="n">
        <v>41.5</v>
      </c>
      <c r="B85" t="n">
        <v>3.8</v>
      </c>
    </row>
    <row r="86" ht="15.75" customHeight="1">
      <c r="A86" t="n">
        <v>42</v>
      </c>
      <c r="B86" t="n">
        <v>3.8</v>
      </c>
    </row>
    <row r="87" ht="15.75" customHeight="1">
      <c r="A87" t="n">
        <v>42.5</v>
      </c>
      <c r="B87" t="n">
        <v>3.8</v>
      </c>
    </row>
    <row r="88" ht="15.75" customHeight="1">
      <c r="A88" t="n">
        <v>43</v>
      </c>
      <c r="B88" t="n">
        <v>3.9</v>
      </c>
    </row>
    <row r="89" ht="15.75" customHeight="1">
      <c r="A89" t="n">
        <v>43.5</v>
      </c>
      <c r="B89" t="n">
        <v>3.9</v>
      </c>
    </row>
    <row r="90" ht="15.75" customHeight="1">
      <c r="A90" t="n">
        <v>44</v>
      </c>
      <c r="B90" t="n">
        <v>3.9</v>
      </c>
    </row>
    <row r="91" ht="15.75" customHeight="1">
      <c r="A91" t="n">
        <v>44.5</v>
      </c>
      <c r="B91" t="n">
        <v>4</v>
      </c>
    </row>
    <row r="92" ht="15.75" customHeight="1">
      <c r="A92" t="n">
        <v>45</v>
      </c>
      <c r="B92" t="n">
        <v>4</v>
      </c>
    </row>
    <row r="93" ht="15.75" customHeight="1">
      <c r="A93" t="n">
        <v>45.5</v>
      </c>
      <c r="B93" t="n">
        <v>4.1</v>
      </c>
    </row>
    <row r="94" ht="15.75" customHeight="1">
      <c r="A94" t="n">
        <v>46</v>
      </c>
      <c r="B94" t="n">
        <v>4.1</v>
      </c>
    </row>
    <row r="95" ht="15.75" customHeight="1">
      <c r="A95" t="n">
        <v>46.5</v>
      </c>
      <c r="B95" t="n">
        <v>4.2</v>
      </c>
    </row>
    <row r="96" ht="15.75" customHeight="1">
      <c r="A96" t="n">
        <v>47</v>
      </c>
      <c r="B96" t="n">
        <v>4.2</v>
      </c>
    </row>
    <row r="97" ht="15.75" customHeight="1">
      <c r="A97" t="n">
        <v>47.5</v>
      </c>
      <c r="B97" t="n">
        <v>4.3</v>
      </c>
    </row>
    <row r="98" ht="15.75" customHeight="1">
      <c r="A98" t="n">
        <v>48</v>
      </c>
      <c r="B98" t="n">
        <v>4.3</v>
      </c>
    </row>
    <row r="99" ht="15.75" customHeight="1">
      <c r="A99" t="n">
        <v>48.5</v>
      </c>
      <c r="B99" t="n">
        <v>4.4</v>
      </c>
    </row>
    <row r="100" ht="15.75" customHeight="1">
      <c r="A100" t="n">
        <v>49</v>
      </c>
      <c r="B100" t="n">
        <v>4.4</v>
      </c>
    </row>
    <row r="101" ht="15.75" customHeight="1">
      <c r="A101" t="n">
        <v>49.5</v>
      </c>
      <c r="B101" t="n">
        <v>4.5</v>
      </c>
    </row>
    <row r="102" ht="15.75" customHeight="1">
      <c r="A102" t="n">
        <v>50</v>
      </c>
      <c r="B102" t="n">
        <v>4.5</v>
      </c>
    </row>
    <row r="103" ht="15.75" customHeight="1">
      <c r="A103" t="n">
        <v>50.5</v>
      </c>
      <c r="B103" t="n">
        <v>4.6</v>
      </c>
    </row>
    <row r="104" ht="15.75" customHeight="1">
      <c r="A104" t="n">
        <v>51</v>
      </c>
      <c r="B104" t="n">
        <v>4.6</v>
      </c>
    </row>
    <row r="105" ht="15.75" customHeight="1">
      <c r="A105" t="n">
        <v>51.5</v>
      </c>
      <c r="B105" t="n">
        <v>4.7</v>
      </c>
    </row>
    <row r="106" ht="15.75" customHeight="1">
      <c r="A106" t="n">
        <v>52</v>
      </c>
      <c r="B106" t="n">
        <v>4.7</v>
      </c>
    </row>
    <row r="107" ht="15.75" customHeight="1">
      <c r="A107" t="n">
        <v>52.5</v>
      </c>
      <c r="B107" t="n">
        <v>4.8</v>
      </c>
    </row>
    <row r="108" ht="15.75" customHeight="1">
      <c r="A108" t="n">
        <v>53</v>
      </c>
      <c r="B108" t="n">
        <v>4.8</v>
      </c>
    </row>
    <row r="109" ht="15.75" customHeight="1">
      <c r="A109" t="n">
        <v>53.5</v>
      </c>
      <c r="B109" t="n">
        <v>4.9</v>
      </c>
    </row>
    <row r="110" ht="15.75" customHeight="1">
      <c r="A110" t="n">
        <v>54</v>
      </c>
      <c r="B110" t="n">
        <v>4.9</v>
      </c>
    </row>
    <row r="111" ht="15.75" customHeight="1">
      <c r="A111" t="n">
        <v>54.5</v>
      </c>
      <c r="B111" t="n">
        <v>5</v>
      </c>
    </row>
    <row r="112" ht="15.75" customHeight="1">
      <c r="A112" t="n">
        <v>55</v>
      </c>
      <c r="B112" t="n">
        <v>5</v>
      </c>
    </row>
    <row r="113" ht="15.75" customHeight="1">
      <c r="A113" t="n">
        <v>55.5</v>
      </c>
      <c r="B113" t="n">
        <v>5.1</v>
      </c>
    </row>
    <row r="114" ht="15.75" customHeight="1">
      <c r="A114" t="n">
        <v>56</v>
      </c>
      <c r="B114" t="n">
        <v>5.1</v>
      </c>
    </row>
    <row r="115" ht="15.75" customHeight="1">
      <c r="A115" t="n">
        <v>56.5</v>
      </c>
      <c r="B115" t="n">
        <v>5.2</v>
      </c>
    </row>
    <row r="116" ht="15.75" customHeight="1">
      <c r="A116" t="n">
        <v>57</v>
      </c>
      <c r="B116" t="n">
        <v>5.2</v>
      </c>
    </row>
    <row r="117" ht="15.75" customHeight="1">
      <c r="A117" t="n">
        <v>57.5</v>
      </c>
      <c r="B117" t="n">
        <v>5.3</v>
      </c>
    </row>
    <row r="118" ht="15.75" customHeight="1">
      <c r="A118" t="n">
        <v>58</v>
      </c>
      <c r="B118" t="n">
        <v>5.3</v>
      </c>
    </row>
    <row r="119" ht="15.75" customHeight="1">
      <c r="A119" t="n">
        <v>58.5</v>
      </c>
      <c r="B119" t="n">
        <v>5.4</v>
      </c>
    </row>
    <row r="120" ht="15.75" customHeight="1">
      <c r="A120" t="n">
        <v>59</v>
      </c>
      <c r="B120" t="n">
        <v>5.4</v>
      </c>
    </row>
    <row r="121" ht="15.75" customHeight="1">
      <c r="A121" t="n">
        <v>59.5</v>
      </c>
      <c r="B121" t="n">
        <v>5.5</v>
      </c>
    </row>
    <row r="122" ht="15.75" customHeight="1">
      <c r="A122" t="n">
        <v>60</v>
      </c>
      <c r="B122" t="n">
        <v>5.5</v>
      </c>
    </row>
    <row r="123" ht="15.75" customHeight="1">
      <c r="A123" t="n">
        <v>60.5</v>
      </c>
      <c r="B123" t="n">
        <v>5.6</v>
      </c>
    </row>
    <row r="124" ht="15.75" customHeight="1">
      <c r="A124" t="n">
        <v>61</v>
      </c>
      <c r="B124" t="n">
        <v>5.6</v>
      </c>
    </row>
    <row r="125" ht="15.75" customHeight="1">
      <c r="A125" t="n">
        <v>61.5</v>
      </c>
      <c r="B125" t="n">
        <v>5.7</v>
      </c>
    </row>
    <row r="126" ht="15.75" customHeight="1">
      <c r="A126" t="n">
        <v>62</v>
      </c>
      <c r="B126" t="n">
        <v>5.7</v>
      </c>
    </row>
    <row r="127" ht="15.75" customHeight="1">
      <c r="A127" t="n">
        <v>62.5</v>
      </c>
      <c r="B127" t="n">
        <v>5.8</v>
      </c>
    </row>
    <row r="128" ht="15.75" customHeight="1">
      <c r="A128" t="n">
        <v>63</v>
      </c>
      <c r="B128" t="n">
        <v>5.8</v>
      </c>
    </row>
    <row r="129" ht="15.75" customHeight="1">
      <c r="A129" t="n">
        <v>63.5</v>
      </c>
      <c r="B129" t="n">
        <v>5.9</v>
      </c>
    </row>
    <row r="130" ht="15.75" customHeight="1">
      <c r="A130" t="n">
        <v>64</v>
      </c>
      <c r="B130" t="n">
        <v>5.9</v>
      </c>
    </row>
    <row r="131" ht="15.75" customHeight="1">
      <c r="A131" t="n">
        <v>64.5</v>
      </c>
      <c r="B131" t="n">
        <v>6</v>
      </c>
    </row>
    <row r="132" ht="15.75" customHeight="1">
      <c r="A132" t="n">
        <v>65</v>
      </c>
      <c r="B132" t="n">
        <v>6</v>
      </c>
    </row>
    <row r="133" ht="15.75" customHeight="1">
      <c r="A133" t="n">
        <v>65.5</v>
      </c>
      <c r="B133" t="n">
        <v>6.1</v>
      </c>
    </row>
    <row r="134" ht="15.75" customHeight="1">
      <c r="A134" t="n">
        <v>66</v>
      </c>
      <c r="B134" t="n">
        <v>6.1</v>
      </c>
    </row>
    <row r="135" ht="15.75" customHeight="1">
      <c r="A135" t="n">
        <v>66.5</v>
      </c>
      <c r="B135" t="n">
        <v>6.2</v>
      </c>
    </row>
    <row r="136" ht="15.75" customHeight="1">
      <c r="A136" t="n">
        <v>67</v>
      </c>
      <c r="B136" t="n">
        <v>6.2</v>
      </c>
    </row>
    <row r="137" ht="15.75" customHeight="1">
      <c r="A137" t="n">
        <v>67.5</v>
      </c>
      <c r="B137" t="n">
        <v>6.3</v>
      </c>
    </row>
    <row r="138" ht="15.75" customHeight="1">
      <c r="A138" t="n">
        <v>68</v>
      </c>
      <c r="B138" t="n">
        <v>6.3</v>
      </c>
    </row>
    <row r="139" ht="15.75" customHeight="1">
      <c r="A139" t="n">
        <v>68.5</v>
      </c>
      <c r="B139" t="n">
        <v>6.4</v>
      </c>
    </row>
    <row r="140" ht="15.75" customHeight="1">
      <c r="A140" t="n">
        <v>69</v>
      </c>
      <c r="B140" t="n">
        <v>6.4</v>
      </c>
    </row>
    <row r="141" ht="15.75" customHeight="1">
      <c r="A141" t="n">
        <v>69.5</v>
      </c>
      <c r="B141" t="n">
        <v>6.5</v>
      </c>
    </row>
    <row r="142" ht="15.75" customHeight="1">
      <c r="A142" t="n">
        <v>70</v>
      </c>
      <c r="B142" t="n">
        <v>6.5</v>
      </c>
    </row>
    <row r="143" ht="15.75" customHeight="1">
      <c r="A143" t="n">
        <v>70.5</v>
      </c>
      <c r="B143" t="n">
        <v>6.6</v>
      </c>
    </row>
    <row r="144" ht="15.75" customHeight="1">
      <c r="A144" t="n">
        <v>71</v>
      </c>
      <c r="B144" t="n">
        <v>6.6</v>
      </c>
    </row>
    <row r="145" ht="15.75" customHeight="1">
      <c r="A145" t="n">
        <v>71.5</v>
      </c>
      <c r="B145" t="n">
        <v>6.7</v>
      </c>
    </row>
    <row r="146" ht="15.75" customHeight="1">
      <c r="A146" t="n">
        <v>72</v>
      </c>
      <c r="B146" t="n">
        <v>6.7</v>
      </c>
    </row>
    <row r="147" ht="15.75" customHeight="1">
      <c r="A147" t="n">
        <v>72.5</v>
      </c>
      <c r="B147" t="n">
        <v>6.8</v>
      </c>
    </row>
    <row r="148" ht="15.75" customHeight="1">
      <c r="A148" t="n">
        <v>73</v>
      </c>
      <c r="B148" t="n">
        <v>6.8</v>
      </c>
    </row>
    <row r="149" ht="15.75" customHeight="1">
      <c r="A149" t="n">
        <v>73.5</v>
      </c>
      <c r="B149" t="n">
        <v>6.9</v>
      </c>
    </row>
    <row r="150" ht="15.75" customHeight="1">
      <c r="A150" t="n">
        <v>74</v>
      </c>
      <c r="B150" t="n">
        <v>6.9</v>
      </c>
    </row>
    <row r="151" ht="15.75" customHeight="1">
      <c r="A151" t="n">
        <v>74.5</v>
      </c>
      <c r="B151" t="n">
        <v>7</v>
      </c>
    </row>
    <row r="152" ht="15.75" customHeight="1">
      <c r="A152" t="n">
        <v>75</v>
      </c>
      <c r="B152" t="n">
        <v>7</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ColWidth="14.42578125" defaultRowHeight="15" customHeight="1"/>
  <cols>
    <col width="10.7109375" customWidth="1" min="1" max="26"/>
  </cols>
  <sheetData>
    <row r="1" ht="14.45" customHeight="1">
      <c r="A1" t="inlineStr">
        <is>
          <t>PUNTOS</t>
        </is>
      </c>
      <c r="B1" t="inlineStr">
        <is>
          <t>NOTA</t>
        </is>
      </c>
    </row>
    <row r="2" ht="14.45" customHeight="1">
      <c r="A2" t="n">
        <v>0</v>
      </c>
      <c r="B2" s="1" t="n">
        <v>1</v>
      </c>
    </row>
    <row r="3" ht="14.45" customHeight="1">
      <c r="A3" t="n">
        <v>1</v>
      </c>
      <c r="B3" s="1" t="n">
        <v>1.1</v>
      </c>
    </row>
    <row r="4" ht="14.45" customHeight="1">
      <c r="A4" t="n">
        <v>2</v>
      </c>
      <c r="B4" s="1" t="n">
        <v>1.2</v>
      </c>
    </row>
    <row r="5" ht="14.45" customHeight="1">
      <c r="A5" t="n">
        <v>3</v>
      </c>
      <c r="B5" s="1" t="n">
        <v>1.3</v>
      </c>
    </row>
    <row r="6" ht="14.45" customHeight="1">
      <c r="A6" t="n">
        <v>4</v>
      </c>
      <c r="B6" s="1" t="n">
        <v>1.4</v>
      </c>
    </row>
    <row r="7" ht="14.45" customHeight="1">
      <c r="A7" t="n">
        <v>5</v>
      </c>
      <c r="B7" s="1" t="n">
        <v>1.5</v>
      </c>
    </row>
    <row r="8" ht="14.45" customHeight="1">
      <c r="A8" t="n">
        <v>6</v>
      </c>
      <c r="B8" s="1" t="n">
        <v>1.6</v>
      </c>
    </row>
    <row r="9" ht="14.45" customHeight="1">
      <c r="A9" t="n">
        <v>7</v>
      </c>
      <c r="B9" s="1" t="n">
        <v>1.7</v>
      </c>
    </row>
    <row r="10" ht="14.45" customHeight="1">
      <c r="A10" t="n">
        <v>8</v>
      </c>
      <c r="B10" s="1" t="n">
        <v>1.8</v>
      </c>
    </row>
    <row r="11" ht="14.45" customHeight="1">
      <c r="A11" t="n">
        <v>9</v>
      </c>
      <c r="B11" s="1" t="n">
        <v>1.9</v>
      </c>
    </row>
    <row r="12" ht="14.45" customHeight="1">
      <c r="A12" t="n">
        <v>10</v>
      </c>
      <c r="B12" s="1" t="n">
        <v>2</v>
      </c>
    </row>
    <row r="13" ht="14.45" customHeight="1">
      <c r="A13" t="n">
        <v>11</v>
      </c>
      <c r="B13" s="1" t="n">
        <v>2.1</v>
      </c>
    </row>
    <row r="14" ht="14.45" customHeight="1">
      <c r="A14" t="n">
        <v>12</v>
      </c>
      <c r="B14" s="1" t="n">
        <v>2.2</v>
      </c>
    </row>
    <row r="15" ht="14.45" customHeight="1">
      <c r="A15" t="n">
        <v>13</v>
      </c>
      <c r="B15" s="1" t="n">
        <v>2.3</v>
      </c>
    </row>
    <row r="16" ht="14.45" customHeight="1">
      <c r="A16" t="n">
        <v>14</v>
      </c>
      <c r="B16" s="1" t="n">
        <v>2.3</v>
      </c>
    </row>
    <row r="17" ht="14.45" customHeight="1">
      <c r="A17" t="n">
        <v>15</v>
      </c>
      <c r="B17" s="1" t="n">
        <v>2.4</v>
      </c>
    </row>
    <row r="18" ht="14.45" customHeight="1">
      <c r="A18" t="n">
        <v>16</v>
      </c>
      <c r="B18" s="1" t="n">
        <v>2.5</v>
      </c>
    </row>
    <row r="19" ht="14.45" customHeight="1">
      <c r="A19" t="n">
        <v>17</v>
      </c>
      <c r="B19" s="1" t="n">
        <v>2.6</v>
      </c>
    </row>
    <row r="20" ht="14.45" customHeight="1">
      <c r="A20" t="n">
        <v>18</v>
      </c>
      <c r="B20" s="1" t="n">
        <v>2.7</v>
      </c>
    </row>
    <row r="21" ht="15.75" customHeight="1">
      <c r="A21" t="n">
        <v>19</v>
      </c>
      <c r="B21" s="1" t="n">
        <v>2.8</v>
      </c>
    </row>
    <row r="22" ht="15.75" customHeight="1">
      <c r="A22" t="n">
        <v>20</v>
      </c>
      <c r="B22" s="1" t="n">
        <v>2.9</v>
      </c>
    </row>
    <row r="23" ht="15.75" customHeight="1">
      <c r="A23" t="n">
        <v>21</v>
      </c>
      <c r="B23" s="1" t="n">
        <v>3</v>
      </c>
    </row>
    <row r="24" ht="15.75" customHeight="1">
      <c r="A24" t="n">
        <v>22</v>
      </c>
      <c r="B24" s="1" t="n">
        <v>3.1</v>
      </c>
    </row>
    <row r="25" ht="15.75" customHeight="1">
      <c r="A25" t="n">
        <v>23</v>
      </c>
      <c r="B25" s="1" t="n">
        <v>3.2</v>
      </c>
    </row>
    <row r="26" ht="15.75" customHeight="1">
      <c r="A26" t="n">
        <v>24</v>
      </c>
      <c r="B26" s="1" t="n">
        <v>3.3</v>
      </c>
    </row>
    <row r="27" ht="15.75" customHeight="1">
      <c r="A27" t="n">
        <v>25</v>
      </c>
      <c r="B27" s="1" t="n">
        <v>3.4</v>
      </c>
    </row>
    <row r="28" ht="15.75" customHeight="1">
      <c r="A28" t="n">
        <v>26</v>
      </c>
      <c r="B28" s="1" t="n">
        <v>3.5</v>
      </c>
    </row>
    <row r="29" ht="15.75" customHeight="1">
      <c r="A29" t="n">
        <v>27</v>
      </c>
      <c r="B29" s="1" t="n">
        <v>3.6</v>
      </c>
    </row>
    <row r="30" ht="15.75" customHeight="1">
      <c r="A30" t="n">
        <v>28</v>
      </c>
      <c r="B30" s="1" t="n">
        <v>3.7</v>
      </c>
    </row>
    <row r="31" ht="15.75" customHeight="1">
      <c r="A31" t="n">
        <v>29</v>
      </c>
      <c r="B31" s="1" t="n">
        <v>3.8</v>
      </c>
    </row>
    <row r="32" ht="15.75" customHeight="1">
      <c r="A32" t="n">
        <v>30</v>
      </c>
      <c r="B32" s="1" t="n">
        <v>3.9</v>
      </c>
    </row>
    <row r="33" ht="15.75" customHeight="1">
      <c r="A33" t="n">
        <v>31</v>
      </c>
      <c r="B33" s="1" t="n">
        <v>4</v>
      </c>
    </row>
    <row r="34" ht="15.75" customHeight="1">
      <c r="A34" t="n">
        <v>32</v>
      </c>
      <c r="B34" s="1" t="n">
        <v>4.1</v>
      </c>
    </row>
    <row r="35" ht="15.75" customHeight="1">
      <c r="A35" t="n">
        <v>33</v>
      </c>
      <c r="B35" s="1" t="n">
        <v>4.3</v>
      </c>
    </row>
    <row r="36" ht="15.75" customHeight="1">
      <c r="A36" t="n">
        <v>34</v>
      </c>
      <c r="B36" s="1" t="n">
        <v>4.4</v>
      </c>
    </row>
    <row r="37" ht="15.75" customHeight="1">
      <c r="A37" t="n">
        <v>35</v>
      </c>
      <c r="B37" s="1" t="n">
        <v>4.5</v>
      </c>
    </row>
    <row r="38" ht="15.75" customHeight="1">
      <c r="A38" t="n">
        <v>36</v>
      </c>
      <c r="B38" s="1" t="n">
        <v>4.7</v>
      </c>
    </row>
    <row r="39" ht="15.75" customHeight="1">
      <c r="A39" t="n">
        <v>37</v>
      </c>
      <c r="B39" s="1" t="n">
        <v>4.8</v>
      </c>
    </row>
    <row r="40" ht="15.75" customHeight="1">
      <c r="A40" t="n">
        <v>38</v>
      </c>
      <c r="B40" s="1" t="n">
        <v>5</v>
      </c>
    </row>
    <row r="41" ht="15.75" customHeight="1">
      <c r="A41" t="n">
        <v>39</v>
      </c>
      <c r="B41" s="1" t="n">
        <v>5.1</v>
      </c>
    </row>
    <row r="42" ht="15.75" customHeight="1">
      <c r="A42" t="n">
        <v>40</v>
      </c>
      <c r="B42" s="1" t="n">
        <v>5.3</v>
      </c>
    </row>
    <row r="43" ht="15.75" customHeight="1">
      <c r="A43" t="n">
        <v>41</v>
      </c>
      <c r="B43" s="1" t="n">
        <v>5.4</v>
      </c>
    </row>
    <row r="44" ht="15.75" customHeight="1">
      <c r="A44" t="n">
        <v>42</v>
      </c>
      <c r="B44" s="1" t="n">
        <v>5.6</v>
      </c>
    </row>
    <row r="45" ht="15.75" customHeight="1">
      <c r="A45" t="n">
        <v>43</v>
      </c>
      <c r="B45" s="1" t="n">
        <v>5.7</v>
      </c>
    </row>
    <row r="46" ht="15.75" customHeight="1">
      <c r="A46" t="n">
        <v>44</v>
      </c>
      <c r="B46" s="1" t="n">
        <v>5.8</v>
      </c>
    </row>
    <row r="47" ht="15.75" customHeight="1">
      <c r="A47" t="n">
        <v>45</v>
      </c>
      <c r="B47" s="1" t="n">
        <v>6</v>
      </c>
    </row>
    <row r="48" ht="15.75" customHeight="1">
      <c r="A48" t="n">
        <v>46</v>
      </c>
      <c r="B48" s="1" t="n">
        <v>6.1</v>
      </c>
    </row>
    <row r="49" ht="15.75" customHeight="1">
      <c r="A49" t="n">
        <v>47</v>
      </c>
      <c r="B49" s="1" t="n">
        <v>6.3</v>
      </c>
    </row>
    <row r="50" ht="15.75" customHeight="1">
      <c r="A50" t="n">
        <v>48</v>
      </c>
      <c r="B50" s="1" t="n">
        <v>6.4</v>
      </c>
    </row>
    <row r="51" ht="15.75" customHeight="1">
      <c r="A51" t="n">
        <v>49</v>
      </c>
      <c r="B51" s="1" t="n">
        <v>6.6</v>
      </c>
    </row>
    <row r="52" ht="15.75" customHeight="1">
      <c r="A52" t="n">
        <v>50</v>
      </c>
      <c r="B52" s="1" t="n">
        <v>6.7</v>
      </c>
    </row>
    <row r="53" ht="15.75" customHeight="1">
      <c r="A53" t="n">
        <v>51</v>
      </c>
      <c r="B53" s="1" t="n">
        <v>6.9</v>
      </c>
    </row>
    <row r="54" ht="15.75" customHeight="1">
      <c r="A54" t="n">
        <v>52</v>
      </c>
      <c r="B54" s="1" t="n">
        <v>7</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B54"/>
  <sheetViews>
    <sheetView topLeftCell="A35" workbookViewId="0">
      <selection activeCell="A153" sqref="A153:B162"/>
    </sheetView>
  </sheetViews>
  <sheetFormatPr baseColWidth="8" defaultColWidth="14.42578125" defaultRowHeight="15" customHeight="1"/>
  <cols>
    <col width="10.7109375" customWidth="1" min="1" max="26"/>
  </cols>
  <sheetData>
    <row r="1" ht="14.45" customHeight="1">
      <c r="A1" t="inlineStr">
        <is>
          <t>Puntaje</t>
        </is>
      </c>
      <c r="B1" t="inlineStr">
        <is>
          <t>Nota</t>
        </is>
      </c>
    </row>
    <row r="2" ht="14.45" customHeight="1">
      <c r="A2" t="n">
        <v>0</v>
      </c>
      <c r="B2" t="n">
        <v>1</v>
      </c>
    </row>
    <row r="3" ht="14.45" customHeight="1">
      <c r="A3" t="n">
        <v>0.5</v>
      </c>
      <c r="B3" t="n">
        <v>1.1</v>
      </c>
    </row>
    <row r="4" ht="14.45" customHeight="1">
      <c r="A4" t="n">
        <v>1</v>
      </c>
      <c r="B4" t="n">
        <v>1.2</v>
      </c>
    </row>
    <row r="5" ht="14.45" customHeight="1">
      <c r="A5" t="n">
        <v>1.5</v>
      </c>
      <c r="B5" t="n">
        <v>1.3</v>
      </c>
    </row>
    <row r="6" ht="14.45" customHeight="1">
      <c r="A6" t="n">
        <v>2</v>
      </c>
      <c r="B6" t="n">
        <v>1.4</v>
      </c>
    </row>
    <row r="7" ht="14.45" customHeight="1">
      <c r="A7" t="n">
        <v>2.5</v>
      </c>
      <c r="B7" t="n">
        <v>1.5</v>
      </c>
    </row>
    <row r="8" ht="14.45" customHeight="1">
      <c r="A8" t="n">
        <v>3</v>
      </c>
      <c r="B8" t="n">
        <v>1.6</v>
      </c>
    </row>
    <row r="9" ht="14.45" customHeight="1">
      <c r="A9" t="n">
        <v>3.5</v>
      </c>
      <c r="B9" t="n">
        <v>1.7</v>
      </c>
    </row>
    <row r="10" ht="14.45" customHeight="1">
      <c r="A10" t="n">
        <v>4</v>
      </c>
      <c r="B10" t="n">
        <v>1.8</v>
      </c>
    </row>
    <row r="11" ht="14.45" customHeight="1">
      <c r="A11" t="n">
        <v>4.5</v>
      </c>
      <c r="B11" t="n">
        <v>1.9</v>
      </c>
    </row>
    <row r="12" ht="14.45" customHeight="1">
      <c r="A12" t="n">
        <v>5</v>
      </c>
      <c r="B12" t="n">
        <v>2</v>
      </c>
    </row>
    <row r="13" ht="14.45" customHeight="1">
      <c r="A13" t="n">
        <v>5.5</v>
      </c>
      <c r="B13" t="n">
        <v>2.1</v>
      </c>
    </row>
    <row r="14" ht="14.45" customHeight="1">
      <c r="A14" t="n">
        <v>6</v>
      </c>
      <c r="B14" t="n">
        <v>2.2</v>
      </c>
    </row>
    <row r="15" ht="14.45" customHeight="1">
      <c r="A15" t="n">
        <v>6.5</v>
      </c>
      <c r="B15" t="n">
        <v>2.3</v>
      </c>
    </row>
    <row r="16" ht="14.45" customHeight="1">
      <c r="A16" t="n">
        <v>7</v>
      </c>
      <c r="B16" t="n">
        <v>2.4</v>
      </c>
    </row>
    <row r="17" ht="14.45" customHeight="1">
      <c r="A17" t="n">
        <v>7.5</v>
      </c>
      <c r="B17" t="n">
        <v>2.5</v>
      </c>
    </row>
    <row r="18" ht="14.45" customHeight="1">
      <c r="A18" t="n">
        <v>8</v>
      </c>
      <c r="B18" t="n">
        <v>2.6</v>
      </c>
    </row>
    <row r="19" ht="14.45" customHeight="1">
      <c r="A19" t="n">
        <v>8.5</v>
      </c>
      <c r="B19" t="n">
        <v>2.7</v>
      </c>
    </row>
    <row r="20" ht="14.45" customHeight="1">
      <c r="A20" t="n">
        <v>9</v>
      </c>
      <c r="B20" t="n">
        <v>2.8</v>
      </c>
    </row>
    <row r="21" ht="15.75" customHeight="1">
      <c r="A21" t="n">
        <v>9.5</v>
      </c>
      <c r="B21" t="n">
        <v>2.9</v>
      </c>
    </row>
    <row r="22" ht="15.75" customHeight="1">
      <c r="A22" t="n">
        <v>10</v>
      </c>
      <c r="B22" t="n">
        <v>3</v>
      </c>
    </row>
    <row r="23" ht="15.75" customHeight="1">
      <c r="A23" t="n">
        <v>10.5</v>
      </c>
      <c r="B23" t="n">
        <v>3.1</v>
      </c>
    </row>
    <row r="24" ht="15.75" customHeight="1">
      <c r="A24" t="n">
        <v>11</v>
      </c>
      <c r="B24" t="n">
        <v>3.2</v>
      </c>
    </row>
    <row r="25" ht="15.75" customHeight="1">
      <c r="A25" t="n">
        <v>11.5</v>
      </c>
      <c r="B25" t="n">
        <v>3.3</v>
      </c>
    </row>
    <row r="26" ht="15.75" customHeight="1">
      <c r="A26" t="n">
        <v>12</v>
      </c>
      <c r="B26" t="n">
        <v>3.4</v>
      </c>
    </row>
    <row r="27" ht="15.75" customHeight="1">
      <c r="A27" t="n">
        <v>12.5</v>
      </c>
      <c r="B27" t="n">
        <v>3.5</v>
      </c>
    </row>
    <row r="28" ht="15.75" customHeight="1">
      <c r="A28" t="n">
        <v>13</v>
      </c>
      <c r="B28" t="n">
        <v>3.6</v>
      </c>
    </row>
    <row r="29" ht="15.75" customHeight="1">
      <c r="A29" t="n">
        <v>13.5</v>
      </c>
      <c r="B29" t="n">
        <v>3.7</v>
      </c>
    </row>
    <row r="30" ht="15.75" customHeight="1">
      <c r="A30" t="n">
        <v>14</v>
      </c>
      <c r="B30" t="n">
        <v>3.8</v>
      </c>
    </row>
    <row r="31" ht="15.75" customHeight="1">
      <c r="A31" t="n">
        <v>14.5</v>
      </c>
      <c r="B31" t="n">
        <v>3.9</v>
      </c>
    </row>
    <row r="32" ht="15.75" customHeight="1">
      <c r="A32" t="n">
        <v>15</v>
      </c>
      <c r="B32" t="n">
        <v>4</v>
      </c>
    </row>
    <row r="33" ht="15.75" customHeight="1">
      <c r="A33" t="n">
        <v>15.5</v>
      </c>
      <c r="B33" t="n">
        <v>4.2</v>
      </c>
    </row>
    <row r="34" ht="15.75" customHeight="1">
      <c r="A34" t="n">
        <v>16</v>
      </c>
      <c r="B34" t="n">
        <v>4.3</v>
      </c>
    </row>
    <row r="35" ht="15.75" customHeight="1">
      <c r="A35" t="n">
        <v>16.5</v>
      </c>
      <c r="B35" t="n">
        <v>4.5</v>
      </c>
    </row>
    <row r="36" ht="15.75" customHeight="1">
      <c r="A36" t="n">
        <v>17</v>
      </c>
      <c r="B36" t="n">
        <v>4.6</v>
      </c>
    </row>
    <row r="37" ht="15.75" customHeight="1">
      <c r="A37" t="n">
        <v>17.5</v>
      </c>
      <c r="B37" t="n">
        <v>4.8</v>
      </c>
    </row>
    <row r="38" ht="15.75" customHeight="1">
      <c r="A38" t="n">
        <v>18</v>
      </c>
      <c r="B38" t="n">
        <v>4.9</v>
      </c>
    </row>
    <row r="39" ht="15.75" customHeight="1">
      <c r="A39" t="n">
        <v>18.5</v>
      </c>
      <c r="B39" t="n">
        <v>5.1</v>
      </c>
    </row>
    <row r="40" ht="15.75" customHeight="1">
      <c r="A40" t="n">
        <v>19</v>
      </c>
      <c r="B40" t="n">
        <v>5.2</v>
      </c>
    </row>
    <row r="41" ht="15.75" customHeight="1">
      <c r="A41" t="n">
        <v>19.5</v>
      </c>
      <c r="B41" t="n">
        <v>5.4</v>
      </c>
    </row>
    <row r="42" ht="15.75" customHeight="1">
      <c r="A42" t="n">
        <v>20</v>
      </c>
      <c r="B42" t="n">
        <v>5.5</v>
      </c>
    </row>
    <row r="43" ht="15.75" customHeight="1">
      <c r="A43" t="n">
        <v>20.5</v>
      </c>
      <c r="B43" t="n">
        <v>5.7</v>
      </c>
    </row>
    <row r="44" ht="15.75" customHeight="1">
      <c r="A44" t="n">
        <v>21</v>
      </c>
      <c r="B44" t="n">
        <v>5.8</v>
      </c>
    </row>
    <row r="45" ht="15.75" customHeight="1">
      <c r="A45" t="n">
        <v>21.5</v>
      </c>
      <c r="B45" t="n">
        <v>6</v>
      </c>
    </row>
    <row r="46" ht="15.75" customHeight="1">
      <c r="A46" t="n">
        <v>22</v>
      </c>
      <c r="B46" t="n">
        <v>6.1</v>
      </c>
    </row>
    <row r="47" ht="15.75" customHeight="1">
      <c r="A47" t="n">
        <v>22.5</v>
      </c>
      <c r="B47" t="n">
        <v>6.3</v>
      </c>
    </row>
    <row r="48" ht="15.75" customHeight="1">
      <c r="A48" t="n">
        <v>23</v>
      </c>
      <c r="B48" t="n">
        <v>6.4</v>
      </c>
    </row>
    <row r="49" ht="15.75" customHeight="1">
      <c r="A49" t="n">
        <v>23.5</v>
      </c>
      <c r="B49" t="n">
        <v>6.6</v>
      </c>
    </row>
    <row r="50" ht="15.75" customHeight="1">
      <c r="A50" t="n">
        <v>24</v>
      </c>
      <c r="B50" t="n">
        <v>6.7</v>
      </c>
    </row>
    <row r="51" ht="15.75" customHeight="1">
      <c r="A51" t="n">
        <v>24.5</v>
      </c>
      <c r="B51" t="n">
        <v>6.9</v>
      </c>
    </row>
    <row r="52" ht="15.75" customHeight="1">
      <c r="A52" t="n">
        <v>25</v>
      </c>
      <c r="B52" t="n">
        <v>7</v>
      </c>
    </row>
    <row r="53" ht="15.75" customHeight="1">
      <c r="B53" s="1" t="n"/>
    </row>
    <row r="54" ht="15.75" customHeight="1">
      <c r="B54" s="1" t="n"/>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E5"/>
  <sheetViews>
    <sheetView workbookViewId="0">
      <selection activeCell="D12" sqref="D12"/>
    </sheetView>
  </sheetViews>
  <sheetFormatPr baseColWidth="8" defaultColWidth="14.42578125" defaultRowHeight="15" customHeight="1"/>
  <cols>
    <col width="10.7109375" customWidth="1" min="1" max="25"/>
  </cols>
  <sheetData>
    <row r="1" ht="14.45" customHeight="1">
      <c r="A1" s="92" t="inlineStr">
        <is>
          <t>Relevancia</t>
        </is>
      </c>
      <c r="B1" s="7" t="inlineStr">
        <is>
          <t>Puntaje</t>
        </is>
      </c>
      <c r="C1" s="8" t="n"/>
      <c r="D1" s="8" t="n"/>
      <c r="E1" s="9" t="n"/>
    </row>
    <row r="2" ht="43.9" customHeight="1" thickBot="1">
      <c r="A2" s="93" t="n"/>
      <c r="B2" s="10" t="inlineStr">
        <is>
          <t>Completamente logrado</t>
        </is>
      </c>
      <c r="C2" s="11" t="inlineStr">
        <is>
          <t>Logrado</t>
        </is>
      </c>
      <c r="D2" s="31" t="inlineStr">
        <is>
          <t>Logro incipiente</t>
        </is>
      </c>
      <c r="E2" s="72" t="inlineStr">
        <is>
          <t>No logrado</t>
        </is>
      </c>
    </row>
    <row r="3" ht="29.45" customHeight="1" thickBot="1">
      <c r="A3" s="12" t="inlineStr">
        <is>
          <t>Muy Relevante</t>
        </is>
      </c>
      <c r="B3" s="13" t="n">
        <v>4</v>
      </c>
      <c r="C3" s="13" t="n">
        <v>3</v>
      </c>
      <c r="D3" s="13" t="n">
        <v>2</v>
      </c>
      <c r="E3" s="13" t="n">
        <v>0</v>
      </c>
    </row>
    <row r="4" thickBot="1">
      <c r="A4" s="12" t="n"/>
      <c r="B4" s="13" t="n"/>
      <c r="C4" s="13" t="n"/>
      <c r="D4" s="13" t="n"/>
      <c r="E4" s="13" t="n"/>
    </row>
    <row r="5" thickBot="1">
      <c r="A5" s="12" t="n"/>
      <c r="B5" s="13" t="n"/>
      <c r="C5" s="13" t="n"/>
      <c r="D5" s="13" t="n"/>
      <c r="E5" s="13" t="n"/>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Gerardo Galan Cruz</dc:creator>
  <dcterms:created xmlns:dcterms="http://purl.org/dc/terms/" xmlns:xsi="http://www.w3.org/2001/XMLSchema-instance" xsi:type="dcterms:W3CDTF">2023-08-07T04:08:01Z</dcterms:created>
  <dcterms:modified xmlns:dcterms="http://purl.org/dc/terms/" xmlns:xsi="http://www.w3.org/2001/XMLSchema-instance" xsi:type="dcterms:W3CDTF">2026-06-09T14:40:18Z</dcterms:modified>
  <cp:lastModifiedBy>Usuario invitado</cp:lastModifiedBy>
</cp:coreProperties>
</file>